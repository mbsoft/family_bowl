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 LVIII - 2024" sheetId="1" r:id="rId5"/>
  </sheets>
  <definedNames/>
  <calcPr/>
</workbook>
</file>

<file path=xl/sharedStrings.xml><?xml version="1.0" encoding="utf-8"?>
<sst xmlns="http://schemas.openxmlformats.org/spreadsheetml/2006/main" count="415" uniqueCount="63">
  <si>
    <t>Jim</t>
  </si>
  <si>
    <t>Susan</t>
  </si>
  <si>
    <t>Tese</t>
  </si>
  <si>
    <t>Mark</t>
  </si>
  <si>
    <t>Michelle</t>
  </si>
  <si>
    <t>Connor</t>
  </si>
  <si>
    <t>Bill</t>
  </si>
  <si>
    <t>Mary</t>
  </si>
  <si>
    <t>Kathy</t>
  </si>
  <si>
    <t>Lee</t>
  </si>
  <si>
    <t>Lindsey</t>
  </si>
  <si>
    <t>Corey</t>
  </si>
  <si>
    <t>Emily</t>
  </si>
  <si>
    <t>Tori</t>
  </si>
  <si>
    <t xml:space="preserve"> </t>
  </si>
  <si>
    <t>Result</t>
  </si>
  <si>
    <t>Reba McEntire's National Anthem Length. Over or Under 1:31</t>
  </si>
  <si>
    <t>O/U</t>
  </si>
  <si>
    <t>O</t>
  </si>
  <si>
    <t>U</t>
  </si>
  <si>
    <t>Heads or Tails</t>
  </si>
  <si>
    <t>H or T</t>
  </si>
  <si>
    <t>H</t>
  </si>
  <si>
    <t>T</t>
  </si>
  <si>
    <t>First team to score</t>
  </si>
  <si>
    <t>SF/KC</t>
  </si>
  <si>
    <t>SF</t>
  </si>
  <si>
    <t>KC</t>
  </si>
  <si>
    <t xml:space="preserve"> KC</t>
  </si>
  <si>
    <t>Score ever be tied after 0-0</t>
  </si>
  <si>
    <t>Y/N</t>
  </si>
  <si>
    <t>Y</t>
  </si>
  <si>
    <t>N</t>
  </si>
  <si>
    <t xml:space="preserve">First team to 10 points </t>
  </si>
  <si>
    <t>Team commits 1st accepted penalty</t>
  </si>
  <si>
    <t>Total players to attempt a pass 2.5</t>
  </si>
  <si>
    <t>Largest lead in game by either team O/U 14.5</t>
  </si>
  <si>
    <t>Yards of longest TD O/U 42.5 yds</t>
  </si>
  <si>
    <t>Which snack commerial will air first (after start of game)?</t>
  </si>
  <si>
    <t>Doritos
M&amp;Ms
(D or M)</t>
  </si>
  <si>
    <t>M</t>
  </si>
  <si>
    <t>D</t>
  </si>
  <si>
    <t xml:space="preserve"> D</t>
  </si>
  <si>
    <t>Christian McCaffrey 89.5 yards rushing</t>
  </si>
  <si>
    <t>Total Points scored O/U 47.5</t>
  </si>
  <si>
    <t>Either QB passing yds 290.5 yds</t>
  </si>
  <si>
    <t xml:space="preserve"> N</t>
  </si>
  <si>
    <t>Mahomes 25.5 yds rushing</t>
  </si>
  <si>
    <t xml:space="preserve"> U</t>
  </si>
  <si>
    <t>Nbr interceptions thrown O/U 1.5</t>
  </si>
  <si>
    <t xml:space="preserve"> O</t>
  </si>
  <si>
    <t>Missed field goal</t>
  </si>
  <si>
    <t>Which team scores last</t>
  </si>
  <si>
    <t xml:space="preserve"> SF</t>
  </si>
  <si>
    <t>Total points odd/even</t>
  </si>
  <si>
    <t>O/E</t>
  </si>
  <si>
    <t>E</t>
  </si>
  <si>
    <t>Who wins game</t>
  </si>
  <si>
    <t>Rob Gronkowski makes the FanDuel Kick of Destiny</t>
  </si>
  <si>
    <t xml:space="preserve"> Y</t>
  </si>
  <si>
    <t>Combined TD scorer Jersey Numbers O/U 121.5</t>
  </si>
  <si>
    <t>Camera shots to T. Swift O/U 5
(during play - halftime, before, and after game don't count)</t>
  </si>
  <si>
    <t>Tie breaker - total points scored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</si>
</sst>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b/>
      <sz val="19.0"/>
      <color theme="1"/>
      <name val="Arial"/>
    </font>
    <font>
      <color theme="1"/>
      <name val="&quot;Open Sans&quot;"/>
    </font>
    <font>
      <b/>
      <color rgb="FF274E13"/>
      <name val="Arial"/>
    </font>
    <font>
      <b/>
      <color rgb="FF38761D"/>
      <name val="Arial"/>
    </font>
    <font>
      <color rgb="FFFF0000"/>
      <name val="Arial"/>
    </font>
    <font>
      <b/>
      <color rgb="FFFF0000"/>
      <name val="Arial"/>
    </font>
    <font>
      <b/>
      <color theme="1"/>
      <name val="&quot;Open Sans&quot;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5" fontId="5" numFmtId="0" xfId="0" applyAlignment="1" applyBorder="1" applyFill="1" applyFont="1">
      <alignment horizontal="center" shrinkToFit="0" vertical="bottom" wrapText="1"/>
    </xf>
    <xf borderId="3" fillId="5" fontId="3" numFmtId="0" xfId="0" applyAlignment="1" applyBorder="1" applyFont="1">
      <alignment shrinkToFit="0" vertical="bottom" wrapText="1"/>
    </xf>
    <xf borderId="3" fillId="5" fontId="3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center" vertical="bottom"/>
    </xf>
    <xf borderId="3" fillId="5" fontId="6" numFmtId="3" xfId="0" applyAlignment="1" applyBorder="1" applyFont="1" applyNumberFormat="1">
      <alignment horizontal="center" vertical="bottom"/>
    </xf>
    <xf borderId="2" fillId="6" fontId="3" numFmtId="0" xfId="0" applyAlignment="1" applyBorder="1" applyFill="1" applyFont="1">
      <alignment horizontal="center" shrinkToFit="0" wrapText="1"/>
    </xf>
    <xf borderId="3" fillId="6" fontId="1" numFmtId="0" xfId="0" applyAlignment="1" applyBorder="1" applyFont="1">
      <alignment shrinkToFit="0" vertical="bottom" wrapText="1"/>
    </xf>
    <xf borderId="3" fillId="6" fontId="1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 readingOrder="0" vertical="bottom"/>
    </xf>
    <xf borderId="3" fillId="6" fontId="8" numFmtId="0" xfId="0" applyAlignment="1" applyBorder="1" applyFont="1">
      <alignment horizontal="center" vertical="bottom"/>
    </xf>
    <xf borderId="3" fillId="6" fontId="9" numFmtId="0" xfId="0" applyAlignment="1" applyBorder="1" applyFont="1">
      <alignment horizontal="center" vertical="bottom"/>
    </xf>
    <xf borderId="3" fillId="6" fontId="8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2" fillId="7" fontId="1" numFmtId="0" xfId="0" applyAlignment="1" applyBorder="1" applyFill="1" applyFont="1">
      <alignment vertical="bottom"/>
    </xf>
    <xf borderId="3" fillId="7" fontId="1" numFmtId="0" xfId="0" applyAlignment="1" applyBorder="1" applyFont="1">
      <alignment vertical="bottom"/>
    </xf>
    <xf borderId="3" fillId="7" fontId="1" numFmtId="46" xfId="0" applyAlignment="1" applyBorder="1" applyFont="1" applyNumberFormat="1">
      <alignment vertical="bottom"/>
    </xf>
    <xf borderId="3" fillId="7" fontId="7" numFmtId="0" xfId="0" applyAlignment="1" applyBorder="1" applyFont="1">
      <alignment horizontal="center" vertical="bottom"/>
    </xf>
    <xf borderId="3" fillId="5" fontId="3" numFmtId="3" xfId="0" applyAlignment="1" applyBorder="1" applyFont="1" applyNumberFormat="1">
      <alignment horizontal="center" vertical="bottom"/>
    </xf>
    <xf borderId="2" fillId="7" fontId="10" numFmtId="0" xfId="0" applyAlignment="1" applyBorder="1" applyFont="1">
      <alignment horizontal="center" shrinkToFit="0" vertical="bottom" wrapText="1"/>
    </xf>
    <xf borderId="3" fillId="7" fontId="1" numFmtId="0" xfId="0" applyAlignment="1" applyBorder="1" applyFont="1">
      <alignment shrinkToFit="0" vertical="bottom" wrapText="1"/>
    </xf>
    <xf borderId="3" fillId="7" fontId="1" numFmtId="0" xfId="0" applyAlignment="1" applyBorder="1" applyFont="1">
      <alignment horizontal="center" vertical="bottom"/>
    </xf>
    <xf borderId="3" fillId="7" fontId="7" numFmtId="0" xfId="0" applyAlignment="1" applyBorder="1" applyFont="1">
      <alignment horizontal="center" readingOrder="0" vertical="bottom"/>
    </xf>
    <xf borderId="3" fillId="7" fontId="8" numFmtId="0" xfId="0" applyAlignment="1" applyBorder="1" applyFont="1">
      <alignment horizontal="center" vertical="bottom"/>
    </xf>
    <xf borderId="3" fillId="7" fontId="9" numFmtId="0" xfId="0" applyAlignment="1" applyBorder="1" applyFont="1">
      <alignment horizontal="center" vertical="bottom"/>
    </xf>
    <xf borderId="3" fillId="7" fontId="8" numFmtId="0" xfId="0" applyAlignment="1" applyBorder="1" applyFont="1">
      <alignment horizontal="center" readingOrder="0" vertical="bottom"/>
    </xf>
    <xf borderId="3" fillId="5" fontId="1" numFmtId="3" xfId="0" applyAlignment="1" applyBorder="1" applyFont="1" applyNumberFormat="1">
      <alignment horizontal="center" vertical="bottom"/>
    </xf>
    <xf borderId="3" fillId="3" fontId="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5"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>
        <b/>
        <color rgb="FF274E13"/>
      </font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hidden="1" min="5" max="5" width="12.63"/>
  </cols>
  <sheetData>
    <row r="1">
      <c r="A1" s="1"/>
      <c r="B1" s="2"/>
      <c r="C1" s="2"/>
      <c r="D1" s="2"/>
      <c r="E1" s="3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5" t="s">
        <v>10</v>
      </c>
      <c r="P1" s="4" t="s">
        <v>11</v>
      </c>
      <c r="Q1" s="4" t="s">
        <v>12</v>
      </c>
      <c r="R1" s="4" t="s">
        <v>13</v>
      </c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14</v>
      </c>
      <c r="B2" s="8" t="s">
        <v>14</v>
      </c>
      <c r="C2" s="9" t="s">
        <v>14</v>
      </c>
      <c r="D2" s="10" t="s">
        <v>15</v>
      </c>
      <c r="E2" s="11">
        <f t="shared" ref="E2:R2" si="1">E4+E6+E8+E10+E12+E14+E16+E18+E20+E22+E24+E26+E28+E30+E32+E34+E36+E38+E40+E42+E44+E46</f>
        <v>5</v>
      </c>
      <c r="F2" s="11">
        <f t="shared" si="1"/>
        <v>10</v>
      </c>
      <c r="G2" s="11">
        <f t="shared" si="1"/>
        <v>11</v>
      </c>
      <c r="H2" s="11">
        <f t="shared" si="1"/>
        <v>5</v>
      </c>
      <c r="I2" s="11">
        <f t="shared" si="1"/>
        <v>11</v>
      </c>
      <c r="J2" s="11">
        <f t="shared" si="1"/>
        <v>6</v>
      </c>
      <c r="K2" s="11">
        <f t="shared" si="1"/>
        <v>7</v>
      </c>
      <c r="L2" s="11">
        <f t="shared" si="1"/>
        <v>9</v>
      </c>
      <c r="M2" s="11">
        <f t="shared" si="1"/>
        <v>12</v>
      </c>
      <c r="N2" s="11">
        <f t="shared" si="1"/>
        <v>13</v>
      </c>
      <c r="O2" s="11">
        <f t="shared" si="1"/>
        <v>13</v>
      </c>
      <c r="P2" s="11">
        <f t="shared" si="1"/>
        <v>13</v>
      </c>
      <c r="Q2" s="11">
        <f t="shared" si="1"/>
        <v>13</v>
      </c>
      <c r="R2" s="11">
        <f t="shared" si="1"/>
        <v>12</v>
      </c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2">
        <v>1.0</v>
      </c>
      <c r="B3" s="13" t="s">
        <v>16</v>
      </c>
      <c r="C3" s="14" t="s">
        <v>17</v>
      </c>
      <c r="D3" s="15" t="s">
        <v>18</v>
      </c>
      <c r="E3" s="16" t="s">
        <v>19</v>
      </c>
      <c r="F3" s="16" t="s">
        <v>18</v>
      </c>
      <c r="G3" s="16" t="s">
        <v>18</v>
      </c>
      <c r="H3" s="16" t="s">
        <v>18</v>
      </c>
      <c r="I3" s="16" t="s">
        <v>18</v>
      </c>
      <c r="J3" s="17" t="s">
        <v>19</v>
      </c>
      <c r="K3" s="16" t="s">
        <v>18</v>
      </c>
      <c r="L3" s="16" t="s">
        <v>19</v>
      </c>
      <c r="M3" s="16" t="s">
        <v>18</v>
      </c>
      <c r="N3" s="18" t="s">
        <v>18</v>
      </c>
      <c r="O3" s="16" t="s">
        <v>18</v>
      </c>
      <c r="P3" s="16" t="s">
        <v>18</v>
      </c>
      <c r="Q3" s="16" t="s">
        <v>18</v>
      </c>
      <c r="R3" s="16" t="s">
        <v>19</v>
      </c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hidden="1">
      <c r="A4" s="20"/>
      <c r="B4" s="21"/>
      <c r="C4" s="22"/>
      <c r="D4" s="23" t="s">
        <v>14</v>
      </c>
      <c r="E4" s="24">
        <f t="shared" ref="E4:R4" si="2">if(E3=$D$3,1,0)</f>
        <v>0</v>
      </c>
      <c r="F4" s="24">
        <f t="shared" si="2"/>
        <v>1</v>
      </c>
      <c r="G4" s="24">
        <f t="shared" si="2"/>
        <v>1</v>
      </c>
      <c r="H4" s="24">
        <f t="shared" si="2"/>
        <v>1</v>
      </c>
      <c r="I4" s="24">
        <f t="shared" si="2"/>
        <v>1</v>
      </c>
      <c r="J4" s="24">
        <f t="shared" si="2"/>
        <v>0</v>
      </c>
      <c r="K4" s="24">
        <f t="shared" si="2"/>
        <v>1</v>
      </c>
      <c r="L4" s="24">
        <f t="shared" si="2"/>
        <v>0</v>
      </c>
      <c r="M4" s="24">
        <f t="shared" si="2"/>
        <v>1</v>
      </c>
      <c r="N4" s="24">
        <f t="shared" si="2"/>
        <v>1</v>
      </c>
      <c r="O4" s="24">
        <f t="shared" si="2"/>
        <v>1</v>
      </c>
      <c r="P4" s="24">
        <f t="shared" si="2"/>
        <v>1</v>
      </c>
      <c r="Q4" s="24">
        <f t="shared" si="2"/>
        <v>1</v>
      </c>
      <c r="R4" s="24">
        <f t="shared" si="2"/>
        <v>0</v>
      </c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2">
        <v>2.0</v>
      </c>
      <c r="B5" s="13" t="s">
        <v>20</v>
      </c>
      <c r="C5" s="14" t="s">
        <v>21</v>
      </c>
      <c r="D5" s="15" t="s">
        <v>22</v>
      </c>
      <c r="E5" s="16" t="s">
        <v>22</v>
      </c>
      <c r="F5" s="16" t="s">
        <v>22</v>
      </c>
      <c r="G5" s="16" t="s">
        <v>22</v>
      </c>
      <c r="H5" s="16" t="s">
        <v>23</v>
      </c>
      <c r="I5" s="16" t="s">
        <v>23</v>
      </c>
      <c r="J5" s="17" t="s">
        <v>22</v>
      </c>
      <c r="K5" s="16" t="s">
        <v>23</v>
      </c>
      <c r="L5" s="16" t="s">
        <v>23</v>
      </c>
      <c r="M5" s="16" t="s">
        <v>23</v>
      </c>
      <c r="N5" s="18" t="s">
        <v>22</v>
      </c>
      <c r="O5" s="16" t="s">
        <v>22</v>
      </c>
      <c r="P5" s="16" t="s">
        <v>22</v>
      </c>
      <c r="Q5" s="16" t="s">
        <v>23</v>
      </c>
      <c r="R5" s="16" t="s">
        <v>23</v>
      </c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idden="1">
      <c r="A6" s="20"/>
      <c r="B6" s="21"/>
      <c r="C6" s="21"/>
      <c r="D6" s="23" t="s">
        <v>14</v>
      </c>
      <c r="E6" s="24">
        <f t="shared" ref="E6:R6" si="3">if(E5=$D$5,1,0)</f>
        <v>1</v>
      </c>
      <c r="F6" s="24">
        <f t="shared" si="3"/>
        <v>1</v>
      </c>
      <c r="G6" s="24">
        <f t="shared" si="3"/>
        <v>1</v>
      </c>
      <c r="H6" s="24">
        <f t="shared" si="3"/>
        <v>0</v>
      </c>
      <c r="I6" s="24">
        <f t="shared" si="3"/>
        <v>0</v>
      </c>
      <c r="J6" s="24">
        <f t="shared" si="3"/>
        <v>1</v>
      </c>
      <c r="K6" s="24">
        <f t="shared" si="3"/>
        <v>0</v>
      </c>
      <c r="L6" s="24">
        <f t="shared" si="3"/>
        <v>0</v>
      </c>
      <c r="M6" s="24">
        <f t="shared" si="3"/>
        <v>0</v>
      </c>
      <c r="N6" s="24">
        <f t="shared" si="3"/>
        <v>1</v>
      </c>
      <c r="O6" s="24">
        <f t="shared" si="3"/>
        <v>1</v>
      </c>
      <c r="P6" s="24">
        <f t="shared" si="3"/>
        <v>1</v>
      </c>
      <c r="Q6" s="24">
        <f t="shared" si="3"/>
        <v>0</v>
      </c>
      <c r="R6" s="24">
        <f t="shared" si="3"/>
        <v>0</v>
      </c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2">
        <v>3.0</v>
      </c>
      <c r="B7" s="13" t="s">
        <v>24</v>
      </c>
      <c r="C7" s="14" t="s">
        <v>25</v>
      </c>
      <c r="D7" s="15" t="s">
        <v>26</v>
      </c>
      <c r="E7" s="16" t="s">
        <v>27</v>
      </c>
      <c r="F7" s="16" t="s">
        <v>27</v>
      </c>
      <c r="G7" s="16" t="s">
        <v>26</v>
      </c>
      <c r="H7" s="16" t="s">
        <v>26</v>
      </c>
      <c r="I7" s="16" t="s">
        <v>27</v>
      </c>
      <c r="J7" s="17" t="s">
        <v>26</v>
      </c>
      <c r="K7" s="16" t="s">
        <v>27</v>
      </c>
      <c r="L7" s="16" t="s">
        <v>27</v>
      </c>
      <c r="M7" s="16" t="s">
        <v>28</v>
      </c>
      <c r="N7" s="18" t="s">
        <v>28</v>
      </c>
      <c r="O7" s="16" t="s">
        <v>26</v>
      </c>
      <c r="P7" s="16" t="s">
        <v>27</v>
      </c>
      <c r="Q7" s="16" t="s">
        <v>26</v>
      </c>
      <c r="R7" s="16" t="s">
        <v>26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hidden="1">
      <c r="A8" s="20"/>
      <c r="B8" s="21"/>
      <c r="C8" s="21"/>
      <c r="D8" s="23" t="s">
        <v>14</v>
      </c>
      <c r="E8" s="24">
        <f t="shared" ref="E8:R8" si="4">if(E7=$D$7,1,0)</f>
        <v>0</v>
      </c>
      <c r="F8" s="24">
        <f t="shared" si="4"/>
        <v>0</v>
      </c>
      <c r="G8" s="24">
        <f t="shared" si="4"/>
        <v>1</v>
      </c>
      <c r="H8" s="24">
        <f t="shared" si="4"/>
        <v>1</v>
      </c>
      <c r="I8" s="24">
        <f t="shared" si="4"/>
        <v>0</v>
      </c>
      <c r="J8" s="24">
        <f t="shared" si="4"/>
        <v>1</v>
      </c>
      <c r="K8" s="24">
        <f t="shared" si="4"/>
        <v>0</v>
      </c>
      <c r="L8" s="24">
        <f t="shared" si="4"/>
        <v>0</v>
      </c>
      <c r="M8" s="24">
        <f t="shared" si="4"/>
        <v>0</v>
      </c>
      <c r="N8" s="24">
        <f t="shared" si="4"/>
        <v>0</v>
      </c>
      <c r="O8" s="24">
        <f t="shared" si="4"/>
        <v>1</v>
      </c>
      <c r="P8" s="24">
        <f t="shared" si="4"/>
        <v>0</v>
      </c>
      <c r="Q8" s="24">
        <f t="shared" si="4"/>
        <v>1</v>
      </c>
      <c r="R8" s="24">
        <f t="shared" si="4"/>
        <v>1</v>
      </c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25">
        <v>4.0</v>
      </c>
      <c r="B9" s="26" t="s">
        <v>29</v>
      </c>
      <c r="C9" s="27" t="s">
        <v>30</v>
      </c>
      <c r="D9" s="28" t="s">
        <v>31</v>
      </c>
      <c r="E9" s="29" t="s">
        <v>32</v>
      </c>
      <c r="F9" s="29" t="s">
        <v>31</v>
      </c>
      <c r="G9" s="29" t="s">
        <v>31</v>
      </c>
      <c r="H9" s="29" t="s">
        <v>32</v>
      </c>
      <c r="I9" s="29" t="s">
        <v>32</v>
      </c>
      <c r="J9" s="30" t="s">
        <v>31</v>
      </c>
      <c r="K9" s="29" t="s">
        <v>31</v>
      </c>
      <c r="L9" s="29" t="s">
        <v>32</v>
      </c>
      <c r="M9" s="31" t="s">
        <v>31</v>
      </c>
      <c r="N9" s="31" t="s">
        <v>31</v>
      </c>
      <c r="O9" s="29" t="s">
        <v>32</v>
      </c>
      <c r="P9" s="29" t="s">
        <v>31</v>
      </c>
      <c r="Q9" s="29" t="s">
        <v>31</v>
      </c>
      <c r="R9" s="29" t="s">
        <v>32</v>
      </c>
      <c r="S9" s="6"/>
      <c r="T9" s="6"/>
      <c r="U9" s="6"/>
      <c r="V9" s="6"/>
      <c r="W9" s="6"/>
      <c r="X9" s="6"/>
      <c r="Y9" s="6"/>
      <c r="Z9" s="6"/>
      <c r="AA9" s="6"/>
      <c r="AB9" s="6"/>
    </row>
    <row r="10" hidden="1">
      <c r="A10" s="20"/>
      <c r="B10" s="21"/>
      <c r="C10" s="21"/>
      <c r="D10" s="23" t="s">
        <v>14</v>
      </c>
      <c r="E10" s="24">
        <f t="shared" ref="E10:R10" si="5">if(E9=$D9,1,0)</f>
        <v>0</v>
      </c>
      <c r="F10" s="24">
        <f t="shared" si="5"/>
        <v>1</v>
      </c>
      <c r="G10" s="24">
        <f t="shared" si="5"/>
        <v>1</v>
      </c>
      <c r="H10" s="24">
        <f t="shared" si="5"/>
        <v>0</v>
      </c>
      <c r="I10" s="24">
        <f t="shared" si="5"/>
        <v>0</v>
      </c>
      <c r="J10" s="24">
        <f t="shared" si="5"/>
        <v>1</v>
      </c>
      <c r="K10" s="24">
        <f t="shared" si="5"/>
        <v>1</v>
      </c>
      <c r="L10" s="24">
        <f t="shared" si="5"/>
        <v>0</v>
      </c>
      <c r="M10" s="24">
        <f t="shared" si="5"/>
        <v>1</v>
      </c>
      <c r="N10" s="24">
        <f t="shared" si="5"/>
        <v>1</v>
      </c>
      <c r="O10" s="24">
        <f t="shared" si="5"/>
        <v>0</v>
      </c>
      <c r="P10" s="24">
        <f t="shared" si="5"/>
        <v>1</v>
      </c>
      <c r="Q10" s="24">
        <f t="shared" si="5"/>
        <v>1</v>
      </c>
      <c r="R10" s="24">
        <f t="shared" si="5"/>
        <v>0</v>
      </c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2">
        <v>5.0</v>
      </c>
      <c r="B11" s="13" t="s">
        <v>33</v>
      </c>
      <c r="C11" s="14" t="s">
        <v>25</v>
      </c>
      <c r="D11" s="15" t="s">
        <v>26</v>
      </c>
      <c r="E11" s="16" t="s">
        <v>27</v>
      </c>
      <c r="F11" s="16" t="s">
        <v>27</v>
      </c>
      <c r="G11" s="16" t="s">
        <v>26</v>
      </c>
      <c r="H11" s="16" t="s">
        <v>27</v>
      </c>
      <c r="I11" s="16" t="s">
        <v>27</v>
      </c>
      <c r="J11" s="17" t="s">
        <v>27</v>
      </c>
      <c r="K11" s="16" t="s">
        <v>27</v>
      </c>
      <c r="L11" s="16" t="s">
        <v>27</v>
      </c>
      <c r="M11" s="16" t="s">
        <v>28</v>
      </c>
      <c r="N11" s="18" t="s">
        <v>28</v>
      </c>
      <c r="O11" s="16" t="s">
        <v>27</v>
      </c>
      <c r="P11" s="16" t="s">
        <v>27</v>
      </c>
      <c r="Q11" s="16" t="s">
        <v>27</v>
      </c>
      <c r="R11" s="16" t="s">
        <v>26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hidden="1">
      <c r="A12" s="20"/>
      <c r="B12" s="21"/>
      <c r="C12" s="21"/>
      <c r="D12" s="23" t="s">
        <v>14</v>
      </c>
      <c r="E12" s="24">
        <f t="shared" ref="E12:R12" si="6">if(E11=$D11,1,0)</f>
        <v>0</v>
      </c>
      <c r="F12" s="24">
        <f t="shared" si="6"/>
        <v>0</v>
      </c>
      <c r="G12" s="24">
        <f t="shared" si="6"/>
        <v>1</v>
      </c>
      <c r="H12" s="24">
        <f t="shared" si="6"/>
        <v>0</v>
      </c>
      <c r="I12" s="24">
        <f t="shared" si="6"/>
        <v>0</v>
      </c>
      <c r="J12" s="24">
        <f t="shared" si="6"/>
        <v>0</v>
      </c>
      <c r="K12" s="24">
        <f t="shared" si="6"/>
        <v>0</v>
      </c>
      <c r="L12" s="24">
        <f t="shared" si="6"/>
        <v>0</v>
      </c>
      <c r="M12" s="24">
        <f t="shared" si="6"/>
        <v>0</v>
      </c>
      <c r="N12" s="24">
        <f t="shared" si="6"/>
        <v>0</v>
      </c>
      <c r="O12" s="24">
        <f t="shared" si="6"/>
        <v>0</v>
      </c>
      <c r="P12" s="24">
        <f t="shared" si="6"/>
        <v>0</v>
      </c>
      <c r="Q12" s="24">
        <f t="shared" si="6"/>
        <v>0</v>
      </c>
      <c r="R12" s="24">
        <f t="shared" si="6"/>
        <v>1</v>
      </c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2">
        <v>6.0</v>
      </c>
      <c r="B13" s="13" t="s">
        <v>34</v>
      </c>
      <c r="C13" s="14" t="s">
        <v>25</v>
      </c>
      <c r="D13" s="15" t="s">
        <v>26</v>
      </c>
      <c r="E13" s="16" t="s">
        <v>27</v>
      </c>
      <c r="F13" s="16" t="s">
        <v>27</v>
      </c>
      <c r="G13" s="16" t="s">
        <v>27</v>
      </c>
      <c r="H13" s="16" t="s">
        <v>26</v>
      </c>
      <c r="I13" s="16" t="s">
        <v>26</v>
      </c>
      <c r="J13" s="17" t="s">
        <v>27</v>
      </c>
      <c r="K13" s="16" t="s">
        <v>26</v>
      </c>
      <c r="L13" s="16" t="s">
        <v>26</v>
      </c>
      <c r="M13" s="16" t="s">
        <v>28</v>
      </c>
      <c r="N13" s="18" t="s">
        <v>28</v>
      </c>
      <c r="O13" s="16" t="s">
        <v>26</v>
      </c>
      <c r="P13" s="16" t="s">
        <v>27</v>
      </c>
      <c r="Q13" s="16" t="s">
        <v>26</v>
      </c>
      <c r="R13" s="16" t="s">
        <v>27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hidden="1">
      <c r="A14" s="20"/>
      <c r="B14" s="21"/>
      <c r="C14" s="21"/>
      <c r="D14" s="23" t="s">
        <v>14</v>
      </c>
      <c r="E14" s="24">
        <f t="shared" ref="E14:R14" si="7">if(E13=$D13,1,0)</f>
        <v>0</v>
      </c>
      <c r="F14" s="24">
        <f t="shared" si="7"/>
        <v>0</v>
      </c>
      <c r="G14" s="24">
        <f t="shared" si="7"/>
        <v>0</v>
      </c>
      <c r="H14" s="24">
        <f t="shared" si="7"/>
        <v>1</v>
      </c>
      <c r="I14" s="24">
        <f t="shared" si="7"/>
        <v>1</v>
      </c>
      <c r="J14" s="24">
        <f t="shared" si="7"/>
        <v>0</v>
      </c>
      <c r="K14" s="24">
        <f t="shared" si="7"/>
        <v>1</v>
      </c>
      <c r="L14" s="24">
        <f t="shared" si="7"/>
        <v>1</v>
      </c>
      <c r="M14" s="24">
        <f t="shared" si="7"/>
        <v>0</v>
      </c>
      <c r="N14" s="24">
        <f t="shared" si="7"/>
        <v>0</v>
      </c>
      <c r="O14" s="24">
        <f t="shared" si="7"/>
        <v>1</v>
      </c>
      <c r="P14" s="24">
        <f t="shared" si="7"/>
        <v>0</v>
      </c>
      <c r="Q14" s="24">
        <f t="shared" si="7"/>
        <v>1</v>
      </c>
      <c r="R14" s="24">
        <f t="shared" si="7"/>
        <v>0</v>
      </c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2">
        <v>7.0</v>
      </c>
      <c r="B15" s="13" t="s">
        <v>35</v>
      </c>
      <c r="C15" s="14" t="s">
        <v>17</v>
      </c>
      <c r="D15" s="15" t="s">
        <v>18</v>
      </c>
      <c r="E15" s="16" t="s">
        <v>19</v>
      </c>
      <c r="F15" s="16" t="s">
        <v>19</v>
      </c>
      <c r="G15" s="16" t="s">
        <v>19</v>
      </c>
      <c r="H15" s="16" t="s">
        <v>19</v>
      </c>
      <c r="I15" s="16" t="s">
        <v>18</v>
      </c>
      <c r="J15" s="17" t="s">
        <v>19</v>
      </c>
      <c r="K15" s="16" t="s">
        <v>19</v>
      </c>
      <c r="L15" s="16" t="s">
        <v>18</v>
      </c>
      <c r="M15" s="16" t="s">
        <v>18</v>
      </c>
      <c r="N15" s="18" t="s">
        <v>18</v>
      </c>
      <c r="O15" s="16" t="s">
        <v>18</v>
      </c>
      <c r="P15" s="16" t="s">
        <v>18</v>
      </c>
      <c r="Q15" s="16" t="s">
        <v>18</v>
      </c>
      <c r="R15" s="16" t="s">
        <v>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hidden="1">
      <c r="A16" s="20"/>
      <c r="B16" s="21"/>
      <c r="C16" s="21"/>
      <c r="D16" s="23" t="s">
        <v>14</v>
      </c>
      <c r="E16" s="24">
        <f t="shared" ref="E16:R16" si="8">if(E15=$D15,1,0)</f>
        <v>0</v>
      </c>
      <c r="F16" s="24">
        <f t="shared" si="8"/>
        <v>0</v>
      </c>
      <c r="G16" s="24">
        <f t="shared" si="8"/>
        <v>0</v>
      </c>
      <c r="H16" s="24">
        <f t="shared" si="8"/>
        <v>0</v>
      </c>
      <c r="I16" s="24">
        <f t="shared" si="8"/>
        <v>1</v>
      </c>
      <c r="J16" s="24">
        <f t="shared" si="8"/>
        <v>0</v>
      </c>
      <c r="K16" s="24">
        <f t="shared" si="8"/>
        <v>0</v>
      </c>
      <c r="L16" s="24">
        <f t="shared" si="8"/>
        <v>1</v>
      </c>
      <c r="M16" s="24">
        <f t="shared" si="8"/>
        <v>1</v>
      </c>
      <c r="N16" s="24">
        <f t="shared" si="8"/>
        <v>1</v>
      </c>
      <c r="O16" s="24">
        <f t="shared" si="8"/>
        <v>1</v>
      </c>
      <c r="P16" s="24">
        <f t="shared" si="8"/>
        <v>1</v>
      </c>
      <c r="Q16" s="24">
        <f t="shared" si="8"/>
        <v>1</v>
      </c>
      <c r="R16" s="24">
        <f t="shared" si="8"/>
        <v>1</v>
      </c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5">
        <v>8.0</v>
      </c>
      <c r="B17" s="26" t="s">
        <v>36</v>
      </c>
      <c r="C17" s="27" t="s">
        <v>17</v>
      </c>
      <c r="D17" s="28" t="s">
        <v>19</v>
      </c>
      <c r="E17" s="29" t="s">
        <v>18</v>
      </c>
      <c r="F17" s="29" t="s">
        <v>19</v>
      </c>
      <c r="G17" s="29" t="s">
        <v>19</v>
      </c>
      <c r="H17" s="29" t="s">
        <v>18</v>
      </c>
      <c r="I17" s="29" t="s">
        <v>18</v>
      </c>
      <c r="J17" s="30" t="s">
        <v>19</v>
      </c>
      <c r="K17" s="29" t="s">
        <v>19</v>
      </c>
      <c r="L17" s="29" t="s">
        <v>19</v>
      </c>
      <c r="M17" s="31" t="s">
        <v>19</v>
      </c>
      <c r="N17" s="31" t="s">
        <v>19</v>
      </c>
      <c r="O17" s="31" t="s">
        <v>19</v>
      </c>
      <c r="P17" s="29" t="s">
        <v>19</v>
      </c>
      <c r="Q17" s="29" t="s">
        <v>19</v>
      </c>
      <c r="R17" s="29" t="s">
        <v>19</v>
      </c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idden="1">
      <c r="A18" s="20"/>
      <c r="B18" s="21"/>
      <c r="C18" s="21"/>
      <c r="D18" s="23" t="s">
        <v>14</v>
      </c>
      <c r="E18" s="24">
        <f t="shared" ref="E18:R18" si="9">if(E17=$D17,1,0)</f>
        <v>0</v>
      </c>
      <c r="F18" s="24">
        <f t="shared" si="9"/>
        <v>1</v>
      </c>
      <c r="G18" s="24">
        <f t="shared" si="9"/>
        <v>1</v>
      </c>
      <c r="H18" s="24">
        <f t="shared" si="9"/>
        <v>0</v>
      </c>
      <c r="I18" s="24">
        <f t="shared" si="9"/>
        <v>0</v>
      </c>
      <c r="J18" s="24">
        <f t="shared" si="9"/>
        <v>1</v>
      </c>
      <c r="K18" s="24">
        <f t="shared" si="9"/>
        <v>1</v>
      </c>
      <c r="L18" s="24">
        <f t="shared" si="9"/>
        <v>1</v>
      </c>
      <c r="M18" s="24">
        <f t="shared" si="9"/>
        <v>1</v>
      </c>
      <c r="N18" s="24">
        <f t="shared" si="9"/>
        <v>1</v>
      </c>
      <c r="O18" s="24">
        <f t="shared" si="9"/>
        <v>1</v>
      </c>
      <c r="P18" s="24">
        <f t="shared" si="9"/>
        <v>1</v>
      </c>
      <c r="Q18" s="24">
        <f t="shared" si="9"/>
        <v>1</v>
      </c>
      <c r="R18" s="24">
        <f t="shared" si="9"/>
        <v>1</v>
      </c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5">
        <v>9.0</v>
      </c>
      <c r="B19" s="26" t="s">
        <v>37</v>
      </c>
      <c r="C19" s="27" t="s">
        <v>17</v>
      </c>
      <c r="D19" s="28" t="s">
        <v>19</v>
      </c>
      <c r="E19" s="29" t="s">
        <v>19</v>
      </c>
      <c r="F19" s="29" t="s">
        <v>18</v>
      </c>
      <c r="G19" s="29" t="s">
        <v>18</v>
      </c>
      <c r="H19" s="29" t="s">
        <v>18</v>
      </c>
      <c r="I19" s="29" t="s">
        <v>19</v>
      </c>
      <c r="J19" s="30" t="s">
        <v>18</v>
      </c>
      <c r="K19" s="29" t="s">
        <v>19</v>
      </c>
      <c r="L19" s="29" t="s">
        <v>18</v>
      </c>
      <c r="M19" s="31" t="s">
        <v>19</v>
      </c>
      <c r="N19" s="31" t="s">
        <v>19</v>
      </c>
      <c r="O19" s="29" t="s">
        <v>18</v>
      </c>
      <c r="P19" s="29" t="s">
        <v>19</v>
      </c>
      <c r="Q19" s="29" t="s">
        <v>18</v>
      </c>
      <c r="R19" s="29" t="s">
        <v>19</v>
      </c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idden="1">
      <c r="A20" s="20"/>
      <c r="B20" s="21"/>
      <c r="C20" s="21"/>
      <c r="D20" s="23" t="s">
        <v>14</v>
      </c>
      <c r="E20" s="24">
        <f t="shared" ref="E20:R20" si="10">if(E19=$D19,1,0)</f>
        <v>1</v>
      </c>
      <c r="F20" s="24">
        <f t="shared" si="10"/>
        <v>0</v>
      </c>
      <c r="G20" s="24">
        <f t="shared" si="10"/>
        <v>0</v>
      </c>
      <c r="H20" s="24">
        <f t="shared" si="10"/>
        <v>0</v>
      </c>
      <c r="I20" s="24">
        <f t="shared" si="10"/>
        <v>1</v>
      </c>
      <c r="J20" s="24">
        <f t="shared" si="10"/>
        <v>0</v>
      </c>
      <c r="K20" s="24">
        <f t="shared" si="10"/>
        <v>1</v>
      </c>
      <c r="L20" s="24">
        <f t="shared" si="10"/>
        <v>0</v>
      </c>
      <c r="M20" s="24">
        <f t="shared" si="10"/>
        <v>1</v>
      </c>
      <c r="N20" s="24">
        <f t="shared" si="10"/>
        <v>1</v>
      </c>
      <c r="O20" s="24">
        <f t="shared" si="10"/>
        <v>0</v>
      </c>
      <c r="P20" s="24">
        <f t="shared" si="10"/>
        <v>1</v>
      </c>
      <c r="Q20" s="24">
        <f t="shared" si="10"/>
        <v>0</v>
      </c>
      <c r="R20" s="24">
        <f t="shared" si="10"/>
        <v>1</v>
      </c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2">
        <v>10.0</v>
      </c>
      <c r="B21" s="13" t="s">
        <v>38</v>
      </c>
      <c r="C21" s="14" t="s">
        <v>39</v>
      </c>
      <c r="D21" s="15" t="s">
        <v>40</v>
      </c>
      <c r="E21" s="16" t="s">
        <v>41</v>
      </c>
      <c r="F21" s="16" t="s">
        <v>40</v>
      </c>
      <c r="G21" s="16" t="s">
        <v>40</v>
      </c>
      <c r="H21" s="16" t="s">
        <v>41</v>
      </c>
      <c r="I21" s="16" t="s">
        <v>41</v>
      </c>
      <c r="J21" s="17" t="s">
        <v>41</v>
      </c>
      <c r="K21" s="16" t="s">
        <v>41</v>
      </c>
      <c r="L21" s="16" t="s">
        <v>41</v>
      </c>
      <c r="M21" s="16" t="s">
        <v>40</v>
      </c>
      <c r="N21" s="18" t="s">
        <v>42</v>
      </c>
      <c r="O21" s="16" t="s">
        <v>40</v>
      </c>
      <c r="P21" s="16" t="s">
        <v>40</v>
      </c>
      <c r="Q21" s="16" t="s">
        <v>40</v>
      </c>
      <c r="R21" s="16" t="s">
        <v>41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idden="1">
      <c r="A22" s="20"/>
      <c r="B22" s="21"/>
      <c r="C22" s="21"/>
      <c r="D22" s="23" t="s">
        <v>14</v>
      </c>
      <c r="E22" s="24">
        <f t="shared" ref="E22:R22" si="11">if(E21=$D21,1,0)</f>
        <v>0</v>
      </c>
      <c r="F22" s="24">
        <f t="shared" si="11"/>
        <v>1</v>
      </c>
      <c r="G22" s="24">
        <f t="shared" si="11"/>
        <v>1</v>
      </c>
      <c r="H22" s="24">
        <f t="shared" si="11"/>
        <v>0</v>
      </c>
      <c r="I22" s="24">
        <f t="shared" si="11"/>
        <v>0</v>
      </c>
      <c r="J22" s="24">
        <f t="shared" si="11"/>
        <v>0</v>
      </c>
      <c r="K22" s="24">
        <f t="shared" si="11"/>
        <v>0</v>
      </c>
      <c r="L22" s="24">
        <f t="shared" si="11"/>
        <v>0</v>
      </c>
      <c r="M22" s="24">
        <f t="shared" si="11"/>
        <v>1</v>
      </c>
      <c r="N22" s="24">
        <f t="shared" si="11"/>
        <v>0</v>
      </c>
      <c r="O22" s="24">
        <f t="shared" si="11"/>
        <v>1</v>
      </c>
      <c r="P22" s="24">
        <f t="shared" si="11"/>
        <v>1</v>
      </c>
      <c r="Q22" s="24">
        <f t="shared" si="11"/>
        <v>1</v>
      </c>
      <c r="R22" s="24">
        <f t="shared" si="11"/>
        <v>0</v>
      </c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5">
        <v>11.0</v>
      </c>
      <c r="B23" s="26" t="s">
        <v>43</v>
      </c>
      <c r="C23" s="27" t="s">
        <v>17</v>
      </c>
      <c r="D23" s="28" t="s">
        <v>19</v>
      </c>
      <c r="E23" s="29" t="s">
        <v>19</v>
      </c>
      <c r="F23" s="29" t="s">
        <v>18</v>
      </c>
      <c r="G23" s="29" t="s">
        <v>18</v>
      </c>
      <c r="H23" s="29" t="s">
        <v>19</v>
      </c>
      <c r="I23" s="29" t="s">
        <v>19</v>
      </c>
      <c r="J23" s="30" t="s">
        <v>18</v>
      </c>
      <c r="K23" s="31" t="s">
        <v>18</v>
      </c>
      <c r="L23" s="31" t="s">
        <v>18</v>
      </c>
      <c r="M23" s="31" t="s">
        <v>19</v>
      </c>
      <c r="N23" s="31" t="s">
        <v>19</v>
      </c>
      <c r="O23" s="29" t="s">
        <v>18</v>
      </c>
      <c r="P23" s="29" t="s">
        <v>19</v>
      </c>
      <c r="Q23" s="29" t="s">
        <v>18</v>
      </c>
      <c r="R23" s="29" t="s">
        <v>18</v>
      </c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idden="1">
      <c r="A24" s="20"/>
      <c r="B24" s="21"/>
      <c r="C24" s="21"/>
      <c r="D24" s="23" t="s">
        <v>14</v>
      </c>
      <c r="E24" s="24">
        <f t="shared" ref="E24:R24" si="12">if(E23=$D23,1,0)</f>
        <v>1</v>
      </c>
      <c r="F24" s="24">
        <f t="shared" si="12"/>
        <v>0</v>
      </c>
      <c r="G24" s="24">
        <f t="shared" si="12"/>
        <v>0</v>
      </c>
      <c r="H24" s="24">
        <f t="shared" si="12"/>
        <v>1</v>
      </c>
      <c r="I24" s="24">
        <f t="shared" si="12"/>
        <v>1</v>
      </c>
      <c r="J24" s="24">
        <f t="shared" si="12"/>
        <v>0</v>
      </c>
      <c r="K24" s="24">
        <f t="shared" si="12"/>
        <v>0</v>
      </c>
      <c r="L24" s="24">
        <f t="shared" si="12"/>
        <v>0</v>
      </c>
      <c r="M24" s="24">
        <f t="shared" si="12"/>
        <v>1</v>
      </c>
      <c r="N24" s="24">
        <f t="shared" si="12"/>
        <v>1</v>
      </c>
      <c r="O24" s="24">
        <f t="shared" si="12"/>
        <v>0</v>
      </c>
      <c r="P24" s="24">
        <f t="shared" si="12"/>
        <v>1</v>
      </c>
      <c r="Q24" s="24">
        <f t="shared" si="12"/>
        <v>0</v>
      </c>
      <c r="R24" s="24">
        <f t="shared" si="12"/>
        <v>0</v>
      </c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25">
        <v>12.0</v>
      </c>
      <c r="B25" s="26" t="s">
        <v>44</v>
      </c>
      <c r="C25" s="27" t="s">
        <v>17</v>
      </c>
      <c r="D25" s="28" t="s">
        <v>19</v>
      </c>
      <c r="E25" s="29" t="s">
        <v>18</v>
      </c>
      <c r="F25" s="29" t="s">
        <v>19</v>
      </c>
      <c r="G25" s="29" t="s">
        <v>18</v>
      </c>
      <c r="H25" s="29" t="s">
        <v>18</v>
      </c>
      <c r="I25" s="29" t="s">
        <v>19</v>
      </c>
      <c r="J25" s="30" t="s">
        <v>18</v>
      </c>
      <c r="K25" s="29" t="s">
        <v>18</v>
      </c>
      <c r="L25" s="29" t="s">
        <v>18</v>
      </c>
      <c r="M25" s="31" t="s">
        <v>19</v>
      </c>
      <c r="N25" s="31" t="s">
        <v>19</v>
      </c>
      <c r="O25" s="29" t="s">
        <v>18</v>
      </c>
      <c r="P25" s="29" t="s">
        <v>18</v>
      </c>
      <c r="Q25" s="29" t="s">
        <v>19</v>
      </c>
      <c r="R25" s="29" t="s">
        <v>18</v>
      </c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idden="1">
      <c r="A26" s="20"/>
      <c r="B26" s="21"/>
      <c r="C26" s="21"/>
      <c r="D26" s="21"/>
      <c r="E26" s="24">
        <f t="shared" ref="E26:R26" si="13">if(E25=$D25,1,0)</f>
        <v>0</v>
      </c>
      <c r="F26" s="24">
        <f t="shared" si="13"/>
        <v>1</v>
      </c>
      <c r="G26" s="24">
        <f t="shared" si="13"/>
        <v>0</v>
      </c>
      <c r="H26" s="24">
        <f t="shared" si="13"/>
        <v>0</v>
      </c>
      <c r="I26" s="24">
        <f t="shared" si="13"/>
        <v>1</v>
      </c>
      <c r="J26" s="24">
        <f t="shared" si="13"/>
        <v>0</v>
      </c>
      <c r="K26" s="24">
        <f t="shared" si="13"/>
        <v>0</v>
      </c>
      <c r="L26" s="24">
        <f t="shared" si="13"/>
        <v>0</v>
      </c>
      <c r="M26" s="24">
        <f t="shared" si="13"/>
        <v>1</v>
      </c>
      <c r="N26" s="24">
        <f t="shared" si="13"/>
        <v>1</v>
      </c>
      <c r="O26" s="24">
        <f t="shared" si="13"/>
        <v>0</v>
      </c>
      <c r="P26" s="24">
        <f t="shared" si="13"/>
        <v>0</v>
      </c>
      <c r="Q26" s="24">
        <f t="shared" si="13"/>
        <v>1</v>
      </c>
      <c r="R26" s="24">
        <f t="shared" si="13"/>
        <v>0</v>
      </c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25">
        <v>13.0</v>
      </c>
      <c r="B27" s="26" t="s">
        <v>45</v>
      </c>
      <c r="C27" s="27" t="s">
        <v>30</v>
      </c>
      <c r="D27" s="28" t="s">
        <v>31</v>
      </c>
      <c r="E27" s="29" t="s">
        <v>32</v>
      </c>
      <c r="F27" s="29" t="s">
        <v>32</v>
      </c>
      <c r="G27" s="29" t="s">
        <v>32</v>
      </c>
      <c r="H27" s="29" t="s">
        <v>32</v>
      </c>
      <c r="I27" s="29" t="s">
        <v>32</v>
      </c>
      <c r="J27" s="30" t="s">
        <v>32</v>
      </c>
      <c r="K27" s="29" t="s">
        <v>32</v>
      </c>
      <c r="L27" s="29" t="s">
        <v>32</v>
      </c>
      <c r="M27" s="29" t="s">
        <v>46</v>
      </c>
      <c r="N27" s="29" t="s">
        <v>46</v>
      </c>
      <c r="O27" s="29" t="s">
        <v>32</v>
      </c>
      <c r="P27" s="29" t="s">
        <v>32</v>
      </c>
      <c r="Q27" s="29" t="s">
        <v>31</v>
      </c>
      <c r="R27" s="31" t="s">
        <v>32</v>
      </c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idden="1">
      <c r="A28" s="20"/>
      <c r="B28" s="21"/>
      <c r="C28" s="21"/>
      <c r="D28" s="23" t="s">
        <v>14</v>
      </c>
      <c r="E28" s="24">
        <f t="shared" ref="E28:R28" si="14">if(E27=$D27,1,0)</f>
        <v>0</v>
      </c>
      <c r="F28" s="24">
        <f t="shared" si="14"/>
        <v>0</v>
      </c>
      <c r="G28" s="24">
        <f t="shared" si="14"/>
        <v>0</v>
      </c>
      <c r="H28" s="24">
        <f t="shared" si="14"/>
        <v>0</v>
      </c>
      <c r="I28" s="24">
        <f t="shared" si="14"/>
        <v>0</v>
      </c>
      <c r="J28" s="24">
        <f t="shared" si="14"/>
        <v>0</v>
      </c>
      <c r="K28" s="24">
        <f t="shared" si="14"/>
        <v>0</v>
      </c>
      <c r="L28" s="24">
        <f t="shared" si="14"/>
        <v>0</v>
      </c>
      <c r="M28" s="24">
        <f t="shared" si="14"/>
        <v>0</v>
      </c>
      <c r="N28" s="24">
        <f t="shared" si="14"/>
        <v>0</v>
      </c>
      <c r="O28" s="24">
        <f t="shared" si="14"/>
        <v>0</v>
      </c>
      <c r="P28" s="24">
        <f t="shared" si="14"/>
        <v>0</v>
      </c>
      <c r="Q28" s="24">
        <f t="shared" si="14"/>
        <v>1</v>
      </c>
      <c r="R28" s="24">
        <f t="shared" si="14"/>
        <v>0</v>
      </c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2">
        <v>14.0</v>
      </c>
      <c r="B29" s="13" t="s">
        <v>47</v>
      </c>
      <c r="C29" s="14" t="s">
        <v>17</v>
      </c>
      <c r="D29" s="15" t="s">
        <v>18</v>
      </c>
      <c r="E29" s="16" t="s">
        <v>18</v>
      </c>
      <c r="F29" s="16" t="s">
        <v>18</v>
      </c>
      <c r="G29" s="16" t="s">
        <v>18</v>
      </c>
      <c r="H29" s="16" t="s">
        <v>18</v>
      </c>
      <c r="I29" s="16" t="s">
        <v>18</v>
      </c>
      <c r="J29" s="17" t="s">
        <v>18</v>
      </c>
      <c r="K29" s="16" t="s">
        <v>18</v>
      </c>
      <c r="L29" s="16" t="s">
        <v>18</v>
      </c>
      <c r="M29" s="16" t="s">
        <v>48</v>
      </c>
      <c r="N29" s="18" t="s">
        <v>18</v>
      </c>
      <c r="O29" s="16" t="s">
        <v>18</v>
      </c>
      <c r="P29" s="16" t="s">
        <v>18</v>
      </c>
      <c r="Q29" s="16" t="s">
        <v>19</v>
      </c>
      <c r="R29" s="16" t="s">
        <v>18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hidden="1">
      <c r="A30" s="20"/>
      <c r="B30" s="21"/>
      <c r="C30" s="21"/>
      <c r="D30" s="23" t="s">
        <v>14</v>
      </c>
      <c r="E30" s="24">
        <f t="shared" ref="E30:R30" si="15">if(E29=$D29,1,0)</f>
        <v>1</v>
      </c>
      <c r="F30" s="24">
        <f t="shared" si="15"/>
        <v>1</v>
      </c>
      <c r="G30" s="24">
        <f t="shared" si="15"/>
        <v>1</v>
      </c>
      <c r="H30" s="24">
        <f t="shared" si="15"/>
        <v>1</v>
      </c>
      <c r="I30" s="24">
        <f t="shared" si="15"/>
        <v>1</v>
      </c>
      <c r="J30" s="24">
        <f t="shared" si="15"/>
        <v>1</v>
      </c>
      <c r="K30" s="24">
        <f t="shared" si="15"/>
        <v>1</v>
      </c>
      <c r="L30" s="24">
        <f t="shared" si="15"/>
        <v>1</v>
      </c>
      <c r="M30" s="24">
        <f t="shared" si="15"/>
        <v>0</v>
      </c>
      <c r="N30" s="24">
        <f t="shared" si="15"/>
        <v>1</v>
      </c>
      <c r="O30" s="24">
        <f t="shared" si="15"/>
        <v>1</v>
      </c>
      <c r="P30" s="24">
        <f t="shared" si="15"/>
        <v>1</v>
      </c>
      <c r="Q30" s="24">
        <f t="shared" si="15"/>
        <v>0</v>
      </c>
      <c r="R30" s="24">
        <f t="shared" si="15"/>
        <v>1</v>
      </c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25">
        <v>15.0</v>
      </c>
      <c r="B31" s="26" t="s">
        <v>49</v>
      </c>
      <c r="C31" s="27" t="s">
        <v>17</v>
      </c>
      <c r="D31" s="28" t="s">
        <v>19</v>
      </c>
      <c r="E31" s="29" t="s">
        <v>18</v>
      </c>
      <c r="F31" s="29" t="s">
        <v>19</v>
      </c>
      <c r="G31" s="29" t="s">
        <v>19</v>
      </c>
      <c r="H31" s="29" t="s">
        <v>18</v>
      </c>
      <c r="I31" s="29" t="s">
        <v>19</v>
      </c>
      <c r="J31" s="30" t="s">
        <v>18</v>
      </c>
      <c r="K31" s="29" t="s">
        <v>18</v>
      </c>
      <c r="L31" s="29" t="s">
        <v>19</v>
      </c>
      <c r="M31" s="31" t="s">
        <v>19</v>
      </c>
      <c r="N31" s="29" t="s">
        <v>50</v>
      </c>
      <c r="O31" s="29" t="s">
        <v>18</v>
      </c>
      <c r="P31" s="29" t="s">
        <v>19</v>
      </c>
      <c r="Q31" s="29" t="s">
        <v>18</v>
      </c>
      <c r="R31" s="29" t="s">
        <v>19</v>
      </c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idden="1">
      <c r="A32" s="20"/>
      <c r="B32" s="21"/>
      <c r="C32" s="21"/>
      <c r="D32" s="23" t="s">
        <v>14</v>
      </c>
      <c r="E32" s="32">
        <f t="shared" ref="E32:R32" si="16">if(E31=$D31,1,0)</f>
        <v>0</v>
      </c>
      <c r="F32" s="32">
        <f t="shared" si="16"/>
        <v>1</v>
      </c>
      <c r="G32" s="32">
        <f t="shared" si="16"/>
        <v>1</v>
      </c>
      <c r="H32" s="32">
        <f t="shared" si="16"/>
        <v>0</v>
      </c>
      <c r="I32" s="32">
        <f t="shared" si="16"/>
        <v>1</v>
      </c>
      <c r="J32" s="32">
        <f t="shared" si="16"/>
        <v>0</v>
      </c>
      <c r="K32" s="32">
        <f t="shared" si="16"/>
        <v>0</v>
      </c>
      <c r="L32" s="32">
        <f t="shared" si="16"/>
        <v>1</v>
      </c>
      <c r="M32" s="32">
        <f t="shared" si="16"/>
        <v>1</v>
      </c>
      <c r="N32" s="32">
        <f t="shared" si="16"/>
        <v>0</v>
      </c>
      <c r="O32" s="32">
        <f t="shared" si="16"/>
        <v>0</v>
      </c>
      <c r="P32" s="32">
        <f t="shared" si="16"/>
        <v>1</v>
      </c>
      <c r="Q32" s="32">
        <f t="shared" si="16"/>
        <v>0</v>
      </c>
      <c r="R32" s="32">
        <f t="shared" si="16"/>
        <v>1</v>
      </c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25">
        <v>16.0</v>
      </c>
      <c r="B33" s="26" t="s">
        <v>51</v>
      </c>
      <c r="C33" s="27" t="s">
        <v>30</v>
      </c>
      <c r="D33" s="28" t="s">
        <v>32</v>
      </c>
      <c r="E33" s="29" t="s">
        <v>31</v>
      </c>
      <c r="F33" s="29" t="s">
        <v>32</v>
      </c>
      <c r="G33" s="29" t="s">
        <v>31</v>
      </c>
      <c r="H33" s="29" t="s">
        <v>31</v>
      </c>
      <c r="I33" s="29" t="s">
        <v>32</v>
      </c>
      <c r="J33" s="30" t="s">
        <v>32</v>
      </c>
      <c r="K33" s="29" t="s">
        <v>31</v>
      </c>
      <c r="L33" s="29" t="s">
        <v>32</v>
      </c>
      <c r="M33" s="31" t="s">
        <v>32</v>
      </c>
      <c r="N33" s="31" t="s">
        <v>32</v>
      </c>
      <c r="O33" s="29" t="s">
        <v>31</v>
      </c>
      <c r="P33" s="29" t="s">
        <v>31</v>
      </c>
      <c r="Q33" s="29" t="s">
        <v>32</v>
      </c>
      <c r="R33" s="29" t="s">
        <v>32</v>
      </c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idden="1">
      <c r="A34" s="20"/>
      <c r="B34" s="21"/>
      <c r="C34" s="21"/>
      <c r="D34" s="23" t="s">
        <v>14</v>
      </c>
      <c r="E34" s="24">
        <f t="shared" ref="E34:R34" si="17">if(E33=$D33,1,0)</f>
        <v>0</v>
      </c>
      <c r="F34" s="24">
        <f t="shared" si="17"/>
        <v>1</v>
      </c>
      <c r="G34" s="24">
        <f t="shared" si="17"/>
        <v>0</v>
      </c>
      <c r="H34" s="24">
        <f t="shared" si="17"/>
        <v>0</v>
      </c>
      <c r="I34" s="24">
        <f t="shared" si="17"/>
        <v>1</v>
      </c>
      <c r="J34" s="24">
        <f t="shared" si="17"/>
        <v>1</v>
      </c>
      <c r="K34" s="24">
        <f t="shared" si="17"/>
        <v>0</v>
      </c>
      <c r="L34" s="24">
        <f t="shared" si="17"/>
        <v>1</v>
      </c>
      <c r="M34" s="24">
        <f t="shared" si="17"/>
        <v>1</v>
      </c>
      <c r="N34" s="24">
        <f t="shared" si="17"/>
        <v>1</v>
      </c>
      <c r="O34" s="24">
        <f t="shared" si="17"/>
        <v>0</v>
      </c>
      <c r="P34" s="24">
        <f t="shared" si="17"/>
        <v>0</v>
      </c>
      <c r="Q34" s="24">
        <f t="shared" si="17"/>
        <v>1</v>
      </c>
      <c r="R34" s="24">
        <f t="shared" si="17"/>
        <v>1</v>
      </c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25">
        <v>17.0</v>
      </c>
      <c r="B35" s="26" t="s">
        <v>52</v>
      </c>
      <c r="C35" s="27" t="s">
        <v>25</v>
      </c>
      <c r="D35" s="28" t="s">
        <v>27</v>
      </c>
      <c r="E35" s="29" t="s">
        <v>26</v>
      </c>
      <c r="F35" s="29" t="s">
        <v>26</v>
      </c>
      <c r="G35" s="29" t="s">
        <v>26</v>
      </c>
      <c r="H35" s="29" t="s">
        <v>26</v>
      </c>
      <c r="I35" s="29" t="s">
        <v>27</v>
      </c>
      <c r="J35" s="30" t="s">
        <v>26</v>
      </c>
      <c r="K35" s="29" t="s">
        <v>26</v>
      </c>
      <c r="L35" s="29" t="s">
        <v>26</v>
      </c>
      <c r="M35" s="29" t="s">
        <v>53</v>
      </c>
      <c r="N35" s="31" t="s">
        <v>27</v>
      </c>
      <c r="O35" s="29" t="s">
        <v>27</v>
      </c>
      <c r="P35" s="29" t="s">
        <v>26</v>
      </c>
      <c r="Q35" s="29" t="s">
        <v>27</v>
      </c>
      <c r="R35" s="29" t="s">
        <v>27</v>
      </c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idden="1">
      <c r="A36" s="20"/>
      <c r="B36" s="21"/>
      <c r="C36" s="21"/>
      <c r="D36" s="23" t="s">
        <v>14</v>
      </c>
      <c r="E36" s="24">
        <f t="shared" ref="E36:R36" si="18">if(E35=$D35,1,0)</f>
        <v>0</v>
      </c>
      <c r="F36" s="24">
        <f t="shared" si="18"/>
        <v>0</v>
      </c>
      <c r="G36" s="24">
        <f t="shared" si="18"/>
        <v>0</v>
      </c>
      <c r="H36" s="24">
        <f t="shared" si="18"/>
        <v>0</v>
      </c>
      <c r="I36" s="24">
        <f t="shared" si="18"/>
        <v>1</v>
      </c>
      <c r="J36" s="24">
        <f t="shared" si="18"/>
        <v>0</v>
      </c>
      <c r="K36" s="24">
        <f t="shared" si="18"/>
        <v>0</v>
      </c>
      <c r="L36" s="24">
        <f t="shared" si="18"/>
        <v>0</v>
      </c>
      <c r="M36" s="24">
        <f t="shared" si="18"/>
        <v>0</v>
      </c>
      <c r="N36" s="24">
        <f t="shared" si="18"/>
        <v>1</v>
      </c>
      <c r="O36" s="24">
        <f t="shared" si="18"/>
        <v>1</v>
      </c>
      <c r="P36" s="24">
        <f t="shared" si="18"/>
        <v>0</v>
      </c>
      <c r="Q36" s="24">
        <f t="shared" si="18"/>
        <v>1</v>
      </c>
      <c r="R36" s="24">
        <f t="shared" si="18"/>
        <v>1</v>
      </c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25">
        <v>18.0</v>
      </c>
      <c r="B37" s="26" t="s">
        <v>54</v>
      </c>
      <c r="C37" s="27" t="s">
        <v>55</v>
      </c>
      <c r="D37" s="28" t="s">
        <v>18</v>
      </c>
      <c r="E37" s="29" t="s">
        <v>56</v>
      </c>
      <c r="F37" s="29" t="s">
        <v>56</v>
      </c>
      <c r="G37" s="29" t="s">
        <v>18</v>
      </c>
      <c r="H37" s="29" t="s">
        <v>56</v>
      </c>
      <c r="I37" s="29" t="s">
        <v>18</v>
      </c>
      <c r="J37" s="30" t="s">
        <v>56</v>
      </c>
      <c r="K37" s="29" t="s">
        <v>56</v>
      </c>
      <c r="L37" s="29" t="s">
        <v>18</v>
      </c>
      <c r="M37" s="31" t="s">
        <v>18</v>
      </c>
      <c r="N37" s="31" t="s">
        <v>18</v>
      </c>
      <c r="O37" s="29" t="s">
        <v>18</v>
      </c>
      <c r="P37" s="29" t="s">
        <v>56</v>
      </c>
      <c r="Q37" s="29" t="s">
        <v>18</v>
      </c>
      <c r="R37" s="29" t="s">
        <v>18</v>
      </c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idden="1">
      <c r="A38" s="20"/>
      <c r="B38" s="21"/>
      <c r="C38" s="21"/>
      <c r="D38" s="23" t="s">
        <v>14</v>
      </c>
      <c r="E38" s="24">
        <f t="shared" ref="E38:R38" si="19">if(E37=$D37,1,0)</f>
        <v>0</v>
      </c>
      <c r="F38" s="24">
        <f t="shared" si="19"/>
        <v>0</v>
      </c>
      <c r="G38" s="24">
        <f t="shared" si="19"/>
        <v>1</v>
      </c>
      <c r="H38" s="24">
        <f t="shared" si="19"/>
        <v>0</v>
      </c>
      <c r="I38" s="24">
        <f t="shared" si="19"/>
        <v>1</v>
      </c>
      <c r="J38" s="24">
        <f t="shared" si="19"/>
        <v>0</v>
      </c>
      <c r="K38" s="24">
        <f t="shared" si="19"/>
        <v>0</v>
      </c>
      <c r="L38" s="24">
        <f t="shared" si="19"/>
        <v>1</v>
      </c>
      <c r="M38" s="24">
        <f t="shared" si="19"/>
        <v>1</v>
      </c>
      <c r="N38" s="24">
        <f t="shared" si="19"/>
        <v>1</v>
      </c>
      <c r="O38" s="24">
        <f t="shared" si="19"/>
        <v>1</v>
      </c>
      <c r="P38" s="24">
        <f t="shared" si="19"/>
        <v>0</v>
      </c>
      <c r="Q38" s="24">
        <f t="shared" si="19"/>
        <v>1</v>
      </c>
      <c r="R38" s="24">
        <f t="shared" si="19"/>
        <v>1</v>
      </c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>
        <v>19.0</v>
      </c>
      <c r="B39" s="26" t="s">
        <v>57</v>
      </c>
      <c r="C39" s="27" t="s">
        <v>25</v>
      </c>
      <c r="D39" s="28" t="s">
        <v>27</v>
      </c>
      <c r="E39" s="29" t="s">
        <v>26</v>
      </c>
      <c r="F39" s="29" t="s">
        <v>26</v>
      </c>
      <c r="G39" s="29" t="s">
        <v>26</v>
      </c>
      <c r="H39" s="29" t="s">
        <v>26</v>
      </c>
      <c r="I39" s="29" t="s">
        <v>26</v>
      </c>
      <c r="J39" s="30" t="s">
        <v>26</v>
      </c>
      <c r="K39" s="29" t="s">
        <v>26</v>
      </c>
      <c r="L39" s="29" t="s">
        <v>27</v>
      </c>
      <c r="M39" s="31" t="s">
        <v>27</v>
      </c>
      <c r="N39" s="31" t="s">
        <v>27</v>
      </c>
      <c r="O39" s="29" t="s">
        <v>27</v>
      </c>
      <c r="P39" s="29" t="s">
        <v>27</v>
      </c>
      <c r="Q39" s="29" t="s">
        <v>26</v>
      </c>
      <c r="R39" s="29" t="s">
        <v>26</v>
      </c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idden="1">
      <c r="A40" s="12"/>
      <c r="B40" s="13"/>
      <c r="C40" s="14"/>
      <c r="D40" s="15" t="s">
        <v>14</v>
      </c>
      <c r="E40" s="16">
        <f t="shared" ref="E40:R40" si="20">if(E39=$D39,1,0)</f>
        <v>0</v>
      </c>
      <c r="F40" s="16">
        <f t="shared" si="20"/>
        <v>0</v>
      </c>
      <c r="G40" s="16">
        <f t="shared" si="20"/>
        <v>0</v>
      </c>
      <c r="H40" s="16">
        <f t="shared" si="20"/>
        <v>0</v>
      </c>
      <c r="I40" s="16">
        <f t="shared" si="20"/>
        <v>0</v>
      </c>
      <c r="J40" s="17">
        <f t="shared" si="20"/>
        <v>0</v>
      </c>
      <c r="K40" s="16">
        <f t="shared" si="20"/>
        <v>0</v>
      </c>
      <c r="L40" s="16">
        <f t="shared" si="20"/>
        <v>1</v>
      </c>
      <c r="M40" s="16">
        <f t="shared" si="20"/>
        <v>1</v>
      </c>
      <c r="N40" s="18">
        <f t="shared" si="20"/>
        <v>1</v>
      </c>
      <c r="O40" s="16">
        <f t="shared" si="20"/>
        <v>1</v>
      </c>
      <c r="P40" s="16">
        <f t="shared" si="20"/>
        <v>1</v>
      </c>
      <c r="Q40" s="16">
        <f t="shared" si="20"/>
        <v>0</v>
      </c>
      <c r="R40" s="16">
        <f t="shared" si="20"/>
        <v>0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ht="64.5" customHeight="1">
      <c r="A41" s="12">
        <v>20.0</v>
      </c>
      <c r="B41" s="13" t="s">
        <v>58</v>
      </c>
      <c r="C41" s="12" t="s">
        <v>30</v>
      </c>
      <c r="D41" s="13" t="s">
        <v>32</v>
      </c>
      <c r="E41" s="16" t="s">
        <v>31</v>
      </c>
      <c r="F41" s="16" t="s">
        <v>31</v>
      </c>
      <c r="G41" s="33" t="s">
        <v>32</v>
      </c>
      <c r="H41" s="16" t="s">
        <v>31</v>
      </c>
      <c r="I41" s="16" t="s">
        <v>31</v>
      </c>
      <c r="J41" s="16" t="s">
        <v>31</v>
      </c>
      <c r="K41" s="16" t="s">
        <v>31</v>
      </c>
      <c r="L41" s="17" t="s">
        <v>31</v>
      </c>
      <c r="M41" s="16" t="s">
        <v>59</v>
      </c>
      <c r="N41" s="16" t="s">
        <v>59</v>
      </c>
      <c r="O41" s="16" t="s">
        <v>31</v>
      </c>
      <c r="P41" s="33" t="s">
        <v>32</v>
      </c>
      <c r="Q41" s="16" t="s">
        <v>31</v>
      </c>
      <c r="R41" s="16" t="s">
        <v>31</v>
      </c>
      <c r="S41" s="16"/>
      <c r="T41" s="16"/>
      <c r="U41" s="19"/>
      <c r="V41" s="19"/>
      <c r="W41" s="19"/>
      <c r="X41" s="19"/>
      <c r="Y41" s="19"/>
      <c r="Z41" s="19"/>
      <c r="AA41" s="19"/>
      <c r="AB41" s="19"/>
    </row>
    <row r="42" hidden="1">
      <c r="A42" s="20"/>
      <c r="B42" s="21"/>
      <c r="C42" s="21"/>
      <c r="D42" s="23" t="s">
        <v>14</v>
      </c>
      <c r="E42" s="24">
        <f t="shared" ref="E42:R42" si="21">if(E41=$D41,1,0)</f>
        <v>0</v>
      </c>
      <c r="F42" s="24">
        <f t="shared" si="21"/>
        <v>0</v>
      </c>
      <c r="G42" s="24">
        <f t="shared" si="21"/>
        <v>1</v>
      </c>
      <c r="H42" s="24">
        <f t="shared" si="21"/>
        <v>0</v>
      </c>
      <c r="I42" s="24">
        <f t="shared" si="21"/>
        <v>0</v>
      </c>
      <c r="J42" s="24">
        <f t="shared" si="21"/>
        <v>0</v>
      </c>
      <c r="K42" s="24">
        <f t="shared" si="21"/>
        <v>0</v>
      </c>
      <c r="L42" s="24">
        <f t="shared" si="21"/>
        <v>0</v>
      </c>
      <c r="M42" s="24">
        <f t="shared" si="21"/>
        <v>0</v>
      </c>
      <c r="N42" s="24">
        <f t="shared" si="21"/>
        <v>0</v>
      </c>
      <c r="O42" s="24">
        <f t="shared" si="21"/>
        <v>0</v>
      </c>
      <c r="P42" s="24">
        <f t="shared" si="21"/>
        <v>1</v>
      </c>
      <c r="Q42" s="24">
        <f t="shared" si="21"/>
        <v>0</v>
      </c>
      <c r="R42" s="24">
        <f t="shared" si="21"/>
        <v>0</v>
      </c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>
        <v>21.0</v>
      </c>
      <c r="B43" s="26" t="s">
        <v>60</v>
      </c>
      <c r="C43" s="27" t="s">
        <v>17</v>
      </c>
      <c r="D43" s="28" t="s">
        <v>19</v>
      </c>
      <c r="E43" s="29" t="s">
        <v>18</v>
      </c>
      <c r="F43" s="29" t="s">
        <v>18</v>
      </c>
      <c r="G43" s="29" t="s">
        <v>18</v>
      </c>
      <c r="H43" s="29" t="s">
        <v>18</v>
      </c>
      <c r="I43" s="29" t="s">
        <v>18</v>
      </c>
      <c r="J43" s="30" t="s">
        <v>18</v>
      </c>
      <c r="K43" s="29" t="s">
        <v>19</v>
      </c>
      <c r="L43" s="29" t="s">
        <v>19</v>
      </c>
      <c r="M43" s="29" t="s">
        <v>50</v>
      </c>
      <c r="N43" s="29" t="s">
        <v>50</v>
      </c>
      <c r="O43" s="29" t="s">
        <v>19</v>
      </c>
      <c r="P43" s="29" t="s">
        <v>18</v>
      </c>
      <c r="Q43" s="29" t="s">
        <v>18</v>
      </c>
      <c r="R43" s="29" t="s">
        <v>19</v>
      </c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idden="1">
      <c r="A44" s="20"/>
      <c r="B44" s="21"/>
      <c r="C44" s="21"/>
      <c r="D44" s="23" t="s">
        <v>14</v>
      </c>
      <c r="E44" s="24">
        <f t="shared" ref="E44:R44" si="22">if(E43=$D43,1,0)</f>
        <v>0</v>
      </c>
      <c r="F44" s="24">
        <f t="shared" si="22"/>
        <v>0</v>
      </c>
      <c r="G44" s="24">
        <f t="shared" si="22"/>
        <v>0</v>
      </c>
      <c r="H44" s="24">
        <f t="shared" si="22"/>
        <v>0</v>
      </c>
      <c r="I44" s="24">
        <f t="shared" si="22"/>
        <v>0</v>
      </c>
      <c r="J44" s="24">
        <f t="shared" si="22"/>
        <v>0</v>
      </c>
      <c r="K44" s="24">
        <f t="shared" si="22"/>
        <v>1</v>
      </c>
      <c r="L44" s="24">
        <f t="shared" si="22"/>
        <v>1</v>
      </c>
      <c r="M44" s="24">
        <f t="shared" si="22"/>
        <v>0</v>
      </c>
      <c r="N44" s="24">
        <f t="shared" si="22"/>
        <v>0</v>
      </c>
      <c r="O44" s="24">
        <f t="shared" si="22"/>
        <v>1</v>
      </c>
      <c r="P44" s="24">
        <f t="shared" si="22"/>
        <v>0</v>
      </c>
      <c r="Q44" s="24">
        <f t="shared" si="22"/>
        <v>0</v>
      </c>
      <c r="R44" s="24">
        <f t="shared" si="22"/>
        <v>1</v>
      </c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>
        <v>22.0</v>
      </c>
      <c r="B45" s="26" t="s">
        <v>61</v>
      </c>
      <c r="C45" s="27" t="s">
        <v>17</v>
      </c>
      <c r="D45" s="28" t="s">
        <v>18</v>
      </c>
      <c r="E45" s="33" t="s">
        <v>18</v>
      </c>
      <c r="F45" s="33" t="s">
        <v>18</v>
      </c>
      <c r="G45" s="29" t="s">
        <v>19</v>
      </c>
      <c r="H45" s="29" t="s">
        <v>19</v>
      </c>
      <c r="I45" s="29" t="s">
        <v>19</v>
      </c>
      <c r="J45" s="30" t="s">
        <v>19</v>
      </c>
      <c r="K45" s="29" t="s">
        <v>19</v>
      </c>
      <c r="L45" s="29" t="s">
        <v>19</v>
      </c>
      <c r="M45" s="29" t="s">
        <v>48</v>
      </c>
      <c r="N45" s="29" t="s">
        <v>48</v>
      </c>
      <c r="O45" s="33" t="s">
        <v>18</v>
      </c>
      <c r="P45" s="33" t="s">
        <v>18</v>
      </c>
      <c r="Q45" s="33" t="s">
        <v>18</v>
      </c>
      <c r="R45" s="33" t="s">
        <v>18</v>
      </c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idden="1">
      <c r="A46" s="20"/>
      <c r="B46" s="21"/>
      <c r="C46" s="21"/>
      <c r="D46" s="23" t="s">
        <v>14</v>
      </c>
      <c r="E46" s="24">
        <f t="shared" ref="E46:R46" si="23">if(E45=$D45,1,0)</f>
        <v>1</v>
      </c>
      <c r="F46" s="24">
        <f t="shared" si="23"/>
        <v>1</v>
      </c>
      <c r="G46" s="24">
        <f t="shared" si="23"/>
        <v>0</v>
      </c>
      <c r="H46" s="24">
        <f t="shared" si="23"/>
        <v>0</v>
      </c>
      <c r="I46" s="24">
        <f t="shared" si="23"/>
        <v>0</v>
      </c>
      <c r="J46" s="24">
        <f t="shared" si="23"/>
        <v>0</v>
      </c>
      <c r="K46" s="24">
        <f t="shared" si="23"/>
        <v>0</v>
      </c>
      <c r="L46" s="24">
        <f t="shared" si="23"/>
        <v>0</v>
      </c>
      <c r="M46" s="24">
        <f t="shared" si="23"/>
        <v>0</v>
      </c>
      <c r="N46" s="24">
        <f t="shared" si="23"/>
        <v>0</v>
      </c>
      <c r="O46" s="24">
        <f t="shared" si="23"/>
        <v>1</v>
      </c>
      <c r="P46" s="24">
        <f t="shared" si="23"/>
        <v>1</v>
      </c>
      <c r="Q46" s="24">
        <f t="shared" si="23"/>
        <v>1</v>
      </c>
      <c r="R46" s="24">
        <f t="shared" si="23"/>
        <v>1</v>
      </c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>
        <v>22.0</v>
      </c>
      <c r="B47" s="26" t="s">
        <v>62</v>
      </c>
      <c r="C47" s="21"/>
      <c r="D47" s="23" t="s">
        <v>14</v>
      </c>
      <c r="E47" s="29">
        <v>49.0</v>
      </c>
      <c r="F47" s="29">
        <v>45.0</v>
      </c>
      <c r="G47" s="29">
        <v>48.0</v>
      </c>
      <c r="H47" s="29">
        <v>46.0</v>
      </c>
      <c r="I47" s="29">
        <v>43.0</v>
      </c>
      <c r="J47" s="30">
        <v>51.0</v>
      </c>
      <c r="K47" s="29">
        <v>45.0</v>
      </c>
      <c r="L47" s="29">
        <v>38.0</v>
      </c>
      <c r="M47" s="29">
        <v>55.0</v>
      </c>
      <c r="N47" s="29">
        <v>41.0</v>
      </c>
      <c r="O47" s="29">
        <v>55.0</v>
      </c>
      <c r="P47" s="29">
        <v>63.0</v>
      </c>
      <c r="Q47" s="29">
        <v>37.0</v>
      </c>
      <c r="R47" s="29">
        <v>56.0</v>
      </c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</sheetData>
  <mergeCells count="1">
    <mergeCell ref="A1:D1"/>
  </mergeCells>
  <conditionalFormatting sqref="B2">
    <cfRule type="expression" dxfId="0" priority="1">
      <formula>RegExMatch((#REF!),"Done")</formula>
    </cfRule>
  </conditionalFormatting>
  <conditionalFormatting sqref="A2:A52 C41">
    <cfRule type="expression" dxfId="0" priority="2">
      <formula>RegExMatch(($D2),"Done")</formula>
    </cfRule>
  </conditionalFormatting>
  <conditionalFormatting sqref="C3 C5 C7 C11 C13 C15 C21 C29 C40:C41 E41:F41">
    <cfRule type="notContainsBlanks" dxfId="1" priority="3">
      <formula>LEN(TRIM(C3))&gt;0</formula>
    </cfRule>
  </conditionalFormatting>
  <conditionalFormatting sqref="E5:R5 E7:R7 E11:R11 E13:R13 E15:R15 E21:R21 E29:R29 E40:F41 G40 H40:O41 P40 Q40:R41 S41:T41">
    <cfRule type="cellIs" dxfId="2" priority="4" operator="equal">
      <formula>$D$5</formula>
    </cfRule>
  </conditionalFormatting>
  <conditionalFormatting sqref="E7:R7 E11:R11 E13:R13 E15:R15 E21:R21 E29:R29 E40:F41 G40 H40:O41 P40 Q40:R41 S41:T41">
    <cfRule type="cellIs" dxfId="2" priority="5" operator="equal">
      <formula>$D$7</formula>
    </cfRule>
  </conditionalFormatting>
  <conditionalFormatting sqref="E9:R9">
    <cfRule type="cellIs" dxfId="2" priority="6" operator="equal">
      <formula>$D$9</formula>
    </cfRule>
  </conditionalFormatting>
  <conditionalFormatting sqref="E11:R11 E13:R13 E15:R15 E21:R21 E29:R29 E40:F41 G40 H40:O41 P40 Q40:R41 S41:T41">
    <cfRule type="cellIs" dxfId="2" priority="7" operator="equal">
      <formula>$D$11</formula>
    </cfRule>
  </conditionalFormatting>
  <conditionalFormatting sqref="E13:R13">
    <cfRule type="cellIs" dxfId="2" priority="8" operator="equal">
      <formula>$D$13</formula>
    </cfRule>
  </conditionalFormatting>
  <conditionalFormatting sqref="E15:R15 E21:R21 E40:F41 G40 H40:O41 P40 Q40:R41">
    <cfRule type="cellIs" dxfId="2" priority="9" operator="equal">
      <formula>$D$15</formula>
    </cfRule>
  </conditionalFormatting>
  <conditionalFormatting sqref="E17:R17">
    <cfRule type="cellIs" dxfId="2" priority="10" operator="equal">
      <formula>$D$17</formula>
    </cfRule>
  </conditionalFormatting>
  <conditionalFormatting sqref="E19:R19">
    <cfRule type="cellIs" dxfId="2" priority="11" operator="equal">
      <formula>$D$19</formula>
    </cfRule>
  </conditionalFormatting>
  <conditionalFormatting sqref="E21:R21 E40:F41 G40 H40:O41 P40 Q40:R41">
    <cfRule type="cellIs" dxfId="2" priority="12" operator="equal">
      <formula>$D$21</formula>
    </cfRule>
  </conditionalFormatting>
  <conditionalFormatting sqref="E23:R23">
    <cfRule type="cellIs" dxfId="2" priority="13" operator="equal">
      <formula>$D$23</formula>
    </cfRule>
  </conditionalFormatting>
  <conditionalFormatting sqref="E25:R25">
    <cfRule type="cellIs" dxfId="2" priority="14" operator="equal">
      <formula>$D$25</formula>
    </cfRule>
  </conditionalFormatting>
  <conditionalFormatting sqref="E27:R27">
    <cfRule type="cellIs" dxfId="2" priority="15" operator="equal">
      <formula>$D$27</formula>
    </cfRule>
  </conditionalFormatting>
  <conditionalFormatting sqref="E29:R29 H41:O41 Q41:T41">
    <cfRule type="cellIs" dxfId="2" priority="16" operator="equal">
      <formula>$D$29</formula>
    </cfRule>
  </conditionalFormatting>
  <conditionalFormatting sqref="E31:R31">
    <cfRule type="cellIs" dxfId="2" priority="17" operator="equal">
      <formula>$D$31</formula>
    </cfRule>
  </conditionalFormatting>
  <conditionalFormatting sqref="E33:R33">
    <cfRule type="cellIs" dxfId="2" priority="18" operator="equal">
      <formula>$D$33</formula>
    </cfRule>
  </conditionalFormatting>
  <conditionalFormatting sqref="E35:R35">
    <cfRule type="cellIs" dxfId="2" priority="19" operator="equal">
      <formula>$D$35</formula>
    </cfRule>
  </conditionalFormatting>
  <conditionalFormatting sqref="E37:R37">
    <cfRule type="cellIs" dxfId="2" priority="20" operator="equal">
      <formula>$D$37</formula>
    </cfRule>
  </conditionalFormatting>
  <conditionalFormatting sqref="E39:F41 G39:G40 H39:O41 P39:P40 Q39:R41 E43:F44 G43:N45 O43:R44">
    <cfRule type="cellIs" dxfId="2" priority="21" operator="equal">
      <formula>$D$39</formula>
    </cfRule>
  </conditionalFormatting>
  <conditionalFormatting sqref="E3:R3 E5:R5 E7:R7 E11:R11 E13:R13 E15:R15 E21:R21 E29:R29 E40:F41 G40 H40:O41 P40 Q40:R41 S41:T41">
    <cfRule type="cellIs" dxfId="3" priority="22" operator="equal">
      <formula>$D$3</formula>
    </cfRule>
  </conditionalFormatting>
  <conditionalFormatting sqref="E40:F41 G40 H40:O41 P40 Q40:R41">
    <cfRule type="expression" dxfId="4" priority="23">
      <formula>D40</formula>
    </cfRule>
  </conditionalFormatting>
  <drawing r:id="rId1"/>
</worksheet>
</file>