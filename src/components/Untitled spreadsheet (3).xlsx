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B LV - 2021" sheetId="1" r:id="rId5"/>
  </sheets>
  <definedNames/>
  <calcPr/>
</workbook>
</file>

<file path=xl/sharedStrings.xml><?xml version="1.0" encoding="utf-8"?>
<sst xmlns="http://schemas.openxmlformats.org/spreadsheetml/2006/main" count="276" uniqueCount="47">
  <si>
    <t>Jim</t>
  </si>
  <si>
    <t>Susan</t>
  </si>
  <si>
    <t>Tese/Mark</t>
  </si>
  <si>
    <t>Michelle/CJ</t>
  </si>
  <si>
    <t>Bill</t>
  </si>
  <si>
    <t>Mary</t>
  </si>
  <si>
    <t>Kathy</t>
  </si>
  <si>
    <t>Lee</t>
  </si>
  <si>
    <t>Lindsey</t>
  </si>
  <si>
    <t>Corey</t>
  </si>
  <si>
    <t xml:space="preserve"> </t>
  </si>
  <si>
    <t>Result</t>
  </si>
  <si>
    <t>National Anthem Length.  Jazmine Sullivan &amp; Eric Church (under 2:00)</t>
  </si>
  <si>
    <t>Y/N</t>
  </si>
  <si>
    <t>N</t>
  </si>
  <si>
    <t>Y</t>
  </si>
  <si>
    <t>Heads or Tails</t>
  </si>
  <si>
    <t>H or T</t>
  </si>
  <si>
    <t>H</t>
  </si>
  <si>
    <t>T</t>
  </si>
  <si>
    <t>Score in first 5 minutes 30 seconds</t>
  </si>
  <si>
    <t>Score ever be tied after 0-0</t>
  </si>
  <si>
    <t>Jersey nbr player to score first O/U 17.5</t>
  </si>
  <si>
    <t>O/U</t>
  </si>
  <si>
    <t>U</t>
  </si>
  <si>
    <t>O</t>
  </si>
  <si>
    <t>Team commit 1st accepted penalty</t>
  </si>
  <si>
    <t>TB/KC</t>
  </si>
  <si>
    <t>TB</t>
  </si>
  <si>
    <t>KC</t>
  </si>
  <si>
    <t>Total TD's scored O/U 6.5</t>
  </si>
  <si>
    <t>Largest lead in game by either team O/U 14.5</t>
  </si>
  <si>
    <t>Total pts in first half O/U 27.5</t>
  </si>
  <si>
    <t>Weeknd wearing sunglasses</t>
  </si>
  <si>
    <t>TD passes by Patrick Mahomes O/U 2.5</t>
  </si>
  <si>
    <t>Receiving yds Tyreek Hill O/U 90.5</t>
  </si>
  <si>
    <t>Receiving Yards Rob G O/U 28.5</t>
  </si>
  <si>
    <t>TB players w/ rushing attempt 3.5</t>
  </si>
  <si>
    <t>Tom Brady with 1 rushing yd</t>
  </si>
  <si>
    <t>Nbr interceptions thrown O/U 1.5</t>
  </si>
  <si>
    <t>Missed field goal</t>
  </si>
  <si>
    <t>Which team scores last</t>
  </si>
  <si>
    <t>Total points odd/even</t>
  </si>
  <si>
    <t>O/E</t>
  </si>
  <si>
    <t>E</t>
  </si>
  <si>
    <t>Who wins game</t>
  </si>
  <si>
    <t>Tie breaker - total points scored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</si>
</sst>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980000"/>
      <name val="Courier New"/>
    </font>
    <font/>
    <font>
      <b/>
      <sz val="9.0"/>
      <color rgb="FF980000"/>
      <name val="Economica"/>
    </font>
    <font>
      <b/>
      <sz val="14.0"/>
      <color theme="1"/>
      <name val="Arial"/>
      <scheme val="minor"/>
    </font>
    <font>
      <b/>
      <sz val="22.0"/>
      <color theme="1"/>
      <name val="Arial"/>
      <scheme val="minor"/>
    </font>
    <font>
      <sz val="7.0"/>
      <color theme="1"/>
      <name val="Open Sans"/>
    </font>
    <font>
      <b/>
      <sz val="10.0"/>
      <color theme="1"/>
      <name val="Arial"/>
    </font>
    <font>
      <b/>
      <sz val="14.0"/>
      <color rgb="FF274E13"/>
      <name val="Arial"/>
    </font>
    <font>
      <b/>
      <sz val="10.0"/>
      <color rgb="FFFF0000"/>
      <name val="Arial"/>
    </font>
    <font>
      <color theme="1"/>
      <name val="Arial"/>
    </font>
    <font>
      <b/>
      <color rgb="FF38761D"/>
      <name val="Arial"/>
      <scheme val="minor"/>
    </font>
    <font>
      <color rgb="FFFF0000"/>
      <name val="Arial"/>
      <scheme val="minor"/>
    </font>
    <font>
      <b/>
      <sz val="10.0"/>
      <color rgb="FF000000"/>
      <name val="Open Sans"/>
    </font>
    <font>
      <b/>
      <color rgb="FF000000"/>
      <name val="Arial"/>
      <scheme val="minor"/>
    </font>
    <font>
      <b/>
      <color theme="1"/>
      <name val="Open Sans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164" xfId="0" applyAlignment="1" applyBorder="1" applyFont="1" applyNumberFormat="1">
      <alignment horizontal="left" readingOrder="0" shrinkToFit="0" vertical="center" wrapText="1"/>
    </xf>
    <xf borderId="3" fillId="0" fontId="3" numFmtId="0" xfId="0" applyBorder="1" applyFont="1"/>
    <xf borderId="0" fillId="2" fontId="4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/>
    </xf>
    <xf borderId="0" fillId="4" fontId="6" numFmtId="0" xfId="0" applyAlignment="1" applyFill="1" applyFont="1">
      <alignment horizontal="center" readingOrder="0"/>
    </xf>
    <xf borderId="4" fillId="5" fontId="7" numFmtId="0" xfId="0" applyAlignment="1" applyBorder="1" applyFill="1" applyFont="1">
      <alignment horizontal="center" readingOrder="0" shrinkToFit="0" wrapText="1"/>
    </xf>
    <xf borderId="4" fillId="5" fontId="8" numFmtId="0" xfId="0" applyAlignment="1" applyBorder="1" applyFont="1">
      <alignment readingOrder="0" shrinkToFit="0" wrapText="1"/>
    </xf>
    <xf borderId="4" fillId="5" fontId="8" numFmtId="0" xfId="0" applyAlignment="1" applyBorder="1" applyFont="1">
      <alignment horizontal="center" readingOrder="0"/>
    </xf>
    <xf borderId="4" fillId="5" fontId="9" numFmtId="0" xfId="0" applyAlignment="1" applyBorder="1" applyFont="1">
      <alignment horizontal="center" readingOrder="0"/>
    </xf>
    <xf borderId="4" fillId="5" fontId="9" numFmtId="3" xfId="0" applyAlignment="1" applyBorder="1" applyFont="1" applyNumberFormat="1">
      <alignment horizontal="center" readingOrder="0"/>
    </xf>
    <xf borderId="0" fillId="5" fontId="10" numFmtId="0" xfId="0" applyAlignment="1" applyFont="1">
      <alignment horizontal="center" readingOrder="0"/>
    </xf>
    <xf borderId="4" fillId="6" fontId="8" numFmtId="0" xfId="0" applyAlignment="1" applyBorder="1" applyFill="1" applyFont="1">
      <alignment horizontal="center" readingOrder="0" shrinkToFit="0" vertical="center" wrapText="1"/>
    </xf>
    <xf borderId="4" fillId="6" fontId="1" numFmtId="0" xfId="0" applyAlignment="1" applyBorder="1" applyFont="1">
      <alignment readingOrder="0" shrinkToFit="0" wrapText="1"/>
    </xf>
    <xf borderId="4" fillId="6" fontId="11" numFmtId="0" xfId="0" applyAlignment="1" applyBorder="1" applyFont="1">
      <alignment horizontal="center" readingOrder="0"/>
    </xf>
    <xf borderId="4" fillId="6" fontId="12" numFmtId="0" xfId="0" applyAlignment="1" applyBorder="1" applyFont="1">
      <alignment horizontal="center" readingOrder="0"/>
    </xf>
    <xf borderId="4" fillId="6" fontId="13" numFmtId="0" xfId="0" applyAlignment="1" applyBorder="1" applyFont="1">
      <alignment horizontal="center" readingOrder="0"/>
    </xf>
    <xf borderId="0" fillId="6" fontId="13" numFmtId="0" xfId="0" applyAlignment="1" applyFont="1">
      <alignment horizontal="center" readingOrder="0"/>
    </xf>
    <xf borderId="4" fillId="6" fontId="14" numFmtId="0" xfId="0" applyAlignment="1" applyBorder="1" applyFont="1">
      <alignment horizontal="center" readingOrder="0" shrinkToFit="0" wrapText="1"/>
    </xf>
    <xf borderId="4" fillId="6" fontId="1" numFmtId="46" xfId="0" applyAlignment="1" applyBorder="1" applyFont="1" applyNumberFormat="1">
      <alignment readingOrder="0"/>
    </xf>
    <xf borderId="4" fillId="6" fontId="12" numFmtId="46" xfId="0" applyAlignment="1" applyBorder="1" applyFont="1" applyNumberFormat="1">
      <alignment horizontal="center" readingOrder="0"/>
    </xf>
    <xf borderId="4" fillId="5" fontId="15" numFmtId="3" xfId="0" applyAlignment="1" applyBorder="1" applyFont="1" applyNumberFormat="1">
      <alignment horizontal="center" readingOrder="0"/>
    </xf>
    <xf borderId="0" fillId="6" fontId="13" numFmtId="3" xfId="0" applyAlignment="1" applyFont="1" applyNumberFormat="1">
      <alignment horizontal="center" readingOrder="0"/>
    </xf>
    <xf borderId="4" fillId="6" fontId="16" numFmtId="0" xfId="0" applyAlignment="1" applyBorder="1" applyFont="1">
      <alignment horizontal="center" readingOrder="0" shrinkToFit="0" wrapText="1"/>
    </xf>
    <xf borderId="4" fillId="6" fontId="1" numFmtId="0" xfId="0" applyAlignment="1" applyBorder="1" applyFont="1">
      <alignment horizontal="center" readingOrder="0"/>
    </xf>
    <xf borderId="4" fillId="5" fontId="17" numFmtId="3" xfId="0" applyAlignment="1" applyBorder="1" applyFont="1" applyNumberFormat="1">
      <alignment horizontal="center" readingOrder="0"/>
    </xf>
    <xf borderId="0" fillId="0" fontId="16" numFmtId="0" xfId="0" applyAlignment="1" applyFont="1">
      <alignment horizontal="center" shrinkToFit="0" wrapText="1"/>
    </xf>
  </cellXfs>
  <cellStyles count="1">
    <cellStyle xfId="0" name="Normal" builtinId="0"/>
  </cellStyles>
  <dxfs count="3"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none"/>
      </fill>
      <border/>
    </dxf>
    <dxf>
      <font>
        <b/>
        <color rgb="FF274E13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5"/>
    <col customWidth="1" min="2" max="2" width="21.13"/>
    <col customWidth="1" min="3" max="3" width="8.0"/>
    <col customWidth="1" min="4" max="6" width="8.63"/>
    <col customWidth="1" min="7" max="7" width="14.63"/>
    <col customWidth="1" min="8" max="8" width="13.88"/>
    <col customWidth="1" min="9" max="15" width="8.63"/>
  </cols>
  <sheetData>
    <row r="1" ht="22.5" customHeight="1">
      <c r="A1" s="1"/>
      <c r="B1" s="2">
        <f>NOW()</f>
        <v>46048.51996</v>
      </c>
      <c r="C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>
      <c r="A2" s="5"/>
      <c r="E2" s="5" t="s">
        <v>0</v>
      </c>
      <c r="F2" s="5" t="s">
        <v>1</v>
      </c>
      <c r="G2" s="5" t="s">
        <v>2</v>
      </c>
      <c r="H2" s="5" t="s">
        <v>3</v>
      </c>
      <c r="I2" s="5" t="s">
        <v>4</v>
      </c>
      <c r="J2" s="6" t="s">
        <v>5</v>
      </c>
      <c r="K2" s="5" t="s">
        <v>6</v>
      </c>
      <c r="L2" s="5" t="s">
        <v>7</v>
      </c>
      <c r="M2" s="5" t="s">
        <v>8</v>
      </c>
      <c r="N2" s="5" t="s">
        <v>9</v>
      </c>
      <c r="O2" s="5"/>
    </row>
    <row r="3" ht="33.0" customHeight="1">
      <c r="A3" s="7" t="s">
        <v>10</v>
      </c>
      <c r="B3" s="8" t="s">
        <v>10</v>
      </c>
      <c r="C3" s="9" t="s">
        <v>10</v>
      </c>
      <c r="D3" s="10" t="s">
        <v>11</v>
      </c>
      <c r="E3" s="11">
        <f t="shared" ref="E3:N3" si="1">E5+E7+E9+E11+E13+E15+E17+E19+E21+E23+E25+E27+E29+E31+E33+E35+E37+E39+E41+E43</f>
        <v>5</v>
      </c>
      <c r="F3" s="11">
        <f t="shared" si="1"/>
        <v>7</v>
      </c>
      <c r="G3" s="11">
        <f t="shared" si="1"/>
        <v>10</v>
      </c>
      <c r="H3" s="11">
        <f t="shared" si="1"/>
        <v>11</v>
      </c>
      <c r="I3" s="11">
        <f t="shared" si="1"/>
        <v>8</v>
      </c>
      <c r="J3" s="11">
        <f t="shared" si="1"/>
        <v>14</v>
      </c>
      <c r="K3" s="11">
        <f t="shared" si="1"/>
        <v>7</v>
      </c>
      <c r="L3" s="11">
        <f t="shared" si="1"/>
        <v>8</v>
      </c>
      <c r="M3" s="11">
        <f t="shared" si="1"/>
        <v>14</v>
      </c>
      <c r="N3" s="11">
        <f t="shared" si="1"/>
        <v>10</v>
      </c>
      <c r="O3" s="12"/>
    </row>
    <row r="4" ht="40.5" customHeight="1">
      <c r="A4" s="13">
        <v>1.0</v>
      </c>
      <c r="B4" s="14" t="s">
        <v>12</v>
      </c>
      <c r="C4" s="15" t="s">
        <v>13</v>
      </c>
      <c r="D4" s="16" t="s">
        <v>14</v>
      </c>
      <c r="E4" s="17" t="s">
        <v>15</v>
      </c>
      <c r="F4" s="17" t="s">
        <v>15</v>
      </c>
      <c r="G4" s="17" t="s">
        <v>15</v>
      </c>
      <c r="H4" s="17" t="s">
        <v>15</v>
      </c>
      <c r="I4" s="17" t="s">
        <v>15</v>
      </c>
      <c r="J4" s="17" t="s">
        <v>14</v>
      </c>
      <c r="K4" s="17" t="s">
        <v>15</v>
      </c>
      <c r="L4" s="17" t="s">
        <v>14</v>
      </c>
      <c r="M4" s="17" t="s">
        <v>14</v>
      </c>
      <c r="N4" s="17" t="s">
        <v>14</v>
      </c>
      <c r="O4" s="18"/>
    </row>
    <row r="5" ht="21.75" hidden="1" customHeight="1">
      <c r="A5" s="19"/>
      <c r="B5" s="14"/>
      <c r="C5" s="20"/>
      <c r="D5" s="21"/>
      <c r="E5" s="22">
        <f t="shared" ref="E5:N5" si="2">if(E4=$D$4,1,0)</f>
        <v>0</v>
      </c>
      <c r="F5" s="22">
        <f t="shared" si="2"/>
        <v>0</v>
      </c>
      <c r="G5" s="22">
        <f t="shared" si="2"/>
        <v>0</v>
      </c>
      <c r="H5" s="22">
        <f t="shared" si="2"/>
        <v>0</v>
      </c>
      <c r="I5" s="22">
        <f t="shared" si="2"/>
        <v>0</v>
      </c>
      <c r="J5" s="22">
        <f t="shared" si="2"/>
        <v>1</v>
      </c>
      <c r="K5" s="22">
        <f t="shared" si="2"/>
        <v>0</v>
      </c>
      <c r="L5" s="22">
        <f t="shared" si="2"/>
        <v>1</v>
      </c>
      <c r="M5" s="22">
        <f t="shared" si="2"/>
        <v>1</v>
      </c>
      <c r="N5" s="22">
        <f t="shared" si="2"/>
        <v>1</v>
      </c>
      <c r="O5" s="23"/>
    </row>
    <row r="6">
      <c r="A6" s="24">
        <v>2.0</v>
      </c>
      <c r="B6" s="14" t="s">
        <v>16</v>
      </c>
      <c r="C6" s="25" t="s">
        <v>17</v>
      </c>
      <c r="D6" s="16" t="s">
        <v>18</v>
      </c>
      <c r="E6" s="17" t="s">
        <v>19</v>
      </c>
      <c r="F6" s="17" t="s">
        <v>18</v>
      </c>
      <c r="G6" s="17" t="s">
        <v>18</v>
      </c>
      <c r="H6" s="17" t="s">
        <v>18</v>
      </c>
      <c r="I6" s="17" t="s">
        <v>19</v>
      </c>
      <c r="J6" s="17" t="s">
        <v>18</v>
      </c>
      <c r="K6" s="17" t="s">
        <v>19</v>
      </c>
      <c r="L6" s="17" t="s">
        <v>19</v>
      </c>
      <c r="M6" s="17" t="s">
        <v>18</v>
      </c>
      <c r="N6" s="17" t="s">
        <v>18</v>
      </c>
      <c r="O6" s="18"/>
    </row>
    <row r="7" hidden="1">
      <c r="A7" s="24"/>
      <c r="B7" s="14"/>
      <c r="C7" s="25"/>
      <c r="D7" s="16"/>
      <c r="E7" s="22">
        <f t="shared" ref="E7:N7" si="3">if(E6=$D$6,1,0)</f>
        <v>0</v>
      </c>
      <c r="F7" s="22">
        <f t="shared" si="3"/>
        <v>1</v>
      </c>
      <c r="G7" s="22">
        <f t="shared" si="3"/>
        <v>1</v>
      </c>
      <c r="H7" s="22">
        <f t="shared" si="3"/>
        <v>1</v>
      </c>
      <c r="I7" s="22">
        <f t="shared" si="3"/>
        <v>0</v>
      </c>
      <c r="J7" s="22">
        <f t="shared" si="3"/>
        <v>1</v>
      </c>
      <c r="K7" s="22">
        <f t="shared" si="3"/>
        <v>0</v>
      </c>
      <c r="L7" s="22">
        <f t="shared" si="3"/>
        <v>0</v>
      </c>
      <c r="M7" s="22">
        <f t="shared" si="3"/>
        <v>1</v>
      </c>
      <c r="N7" s="22">
        <f t="shared" si="3"/>
        <v>1</v>
      </c>
      <c r="O7" s="23"/>
    </row>
    <row r="8">
      <c r="A8" s="24">
        <v>3.0</v>
      </c>
      <c r="B8" s="14" t="s">
        <v>20</v>
      </c>
      <c r="C8" s="25" t="s">
        <v>13</v>
      </c>
      <c r="D8" s="16" t="s">
        <v>14</v>
      </c>
      <c r="E8" s="17" t="s">
        <v>14</v>
      </c>
      <c r="F8" s="17" t="s">
        <v>15</v>
      </c>
      <c r="G8" s="17" t="s">
        <v>15</v>
      </c>
      <c r="H8" s="17" t="s">
        <v>14</v>
      </c>
      <c r="I8" s="17" t="s">
        <v>14</v>
      </c>
      <c r="J8" s="17" t="s">
        <v>14</v>
      </c>
      <c r="K8" s="17" t="s">
        <v>15</v>
      </c>
      <c r="L8" s="17" t="s">
        <v>15</v>
      </c>
      <c r="M8" s="17" t="s">
        <v>14</v>
      </c>
      <c r="N8" s="17" t="s">
        <v>15</v>
      </c>
      <c r="O8" s="18"/>
    </row>
    <row r="9" hidden="1">
      <c r="A9" s="24"/>
      <c r="B9" s="14"/>
      <c r="C9" s="25"/>
      <c r="D9" s="16"/>
      <c r="E9" s="22">
        <f t="shared" ref="E9:N9" si="4">if(E8=$D$8,1,0)</f>
        <v>1</v>
      </c>
      <c r="F9" s="22">
        <f t="shared" si="4"/>
        <v>0</v>
      </c>
      <c r="G9" s="22">
        <f t="shared" si="4"/>
        <v>0</v>
      </c>
      <c r="H9" s="22">
        <f t="shared" si="4"/>
        <v>1</v>
      </c>
      <c r="I9" s="22">
        <f t="shared" si="4"/>
        <v>1</v>
      </c>
      <c r="J9" s="22">
        <f t="shared" si="4"/>
        <v>1</v>
      </c>
      <c r="K9" s="22">
        <f t="shared" si="4"/>
        <v>0</v>
      </c>
      <c r="L9" s="22">
        <f t="shared" si="4"/>
        <v>0</v>
      </c>
      <c r="M9" s="22">
        <f t="shared" si="4"/>
        <v>1</v>
      </c>
      <c r="N9" s="22">
        <f t="shared" si="4"/>
        <v>0</v>
      </c>
      <c r="O9" s="23"/>
    </row>
    <row r="10">
      <c r="A10" s="24">
        <v>4.0</v>
      </c>
      <c r="B10" s="14" t="s">
        <v>21</v>
      </c>
      <c r="C10" s="25" t="s">
        <v>13</v>
      </c>
      <c r="D10" s="16" t="s">
        <v>14</v>
      </c>
      <c r="E10" s="17" t="s">
        <v>15</v>
      </c>
      <c r="F10" s="17" t="s">
        <v>15</v>
      </c>
      <c r="G10" s="17" t="s">
        <v>15</v>
      </c>
      <c r="H10" s="17" t="s">
        <v>15</v>
      </c>
      <c r="I10" s="17" t="s">
        <v>15</v>
      </c>
      <c r="J10" s="17" t="s">
        <v>14</v>
      </c>
      <c r="K10" s="17" t="s">
        <v>15</v>
      </c>
      <c r="L10" s="17" t="s">
        <v>15</v>
      </c>
      <c r="M10" s="17" t="s">
        <v>14</v>
      </c>
      <c r="N10" s="17" t="s">
        <v>15</v>
      </c>
      <c r="O10" s="18"/>
    </row>
    <row r="11" hidden="1">
      <c r="A11" s="24"/>
      <c r="B11" s="14"/>
      <c r="C11" s="25"/>
      <c r="D11" s="16"/>
      <c r="E11" s="22">
        <f t="shared" ref="E11:N11" si="5">if(E10=$D10,1,0)</f>
        <v>0</v>
      </c>
      <c r="F11" s="22">
        <f t="shared" si="5"/>
        <v>0</v>
      </c>
      <c r="G11" s="22">
        <f t="shared" si="5"/>
        <v>0</v>
      </c>
      <c r="H11" s="22">
        <f t="shared" si="5"/>
        <v>0</v>
      </c>
      <c r="I11" s="22">
        <f t="shared" si="5"/>
        <v>0</v>
      </c>
      <c r="J11" s="22">
        <f t="shared" si="5"/>
        <v>1</v>
      </c>
      <c r="K11" s="22">
        <f t="shared" si="5"/>
        <v>0</v>
      </c>
      <c r="L11" s="22">
        <f t="shared" si="5"/>
        <v>0</v>
      </c>
      <c r="M11" s="22">
        <f t="shared" si="5"/>
        <v>1</v>
      </c>
      <c r="N11" s="22">
        <f t="shared" si="5"/>
        <v>0</v>
      </c>
      <c r="O11" s="23"/>
    </row>
    <row r="12">
      <c r="A12" s="24">
        <v>5.0</v>
      </c>
      <c r="B12" s="14" t="s">
        <v>22</v>
      </c>
      <c r="C12" s="25" t="s">
        <v>23</v>
      </c>
      <c r="D12" s="16" t="s">
        <v>24</v>
      </c>
      <c r="E12" s="17" t="s">
        <v>25</v>
      </c>
      <c r="F12" s="17" t="s">
        <v>25</v>
      </c>
      <c r="G12" s="17" t="s">
        <v>24</v>
      </c>
      <c r="H12" s="17" t="s">
        <v>24</v>
      </c>
      <c r="I12" s="17" t="s">
        <v>25</v>
      </c>
      <c r="J12" s="17" t="s">
        <v>25</v>
      </c>
      <c r="K12" s="17" t="s">
        <v>25</v>
      </c>
      <c r="L12" s="17" t="s">
        <v>25</v>
      </c>
      <c r="M12" s="17" t="s">
        <v>24</v>
      </c>
      <c r="N12" s="17" t="s">
        <v>25</v>
      </c>
      <c r="O12" s="18"/>
    </row>
    <row r="13" hidden="1">
      <c r="A13" s="24"/>
      <c r="B13" s="14"/>
      <c r="C13" s="25"/>
      <c r="D13" s="16"/>
      <c r="E13" s="22">
        <f t="shared" ref="E13:N13" si="6">if(E12=$D12,1,0)</f>
        <v>0</v>
      </c>
      <c r="F13" s="22">
        <f t="shared" si="6"/>
        <v>0</v>
      </c>
      <c r="G13" s="22">
        <f t="shared" si="6"/>
        <v>1</v>
      </c>
      <c r="H13" s="22">
        <f t="shared" si="6"/>
        <v>1</v>
      </c>
      <c r="I13" s="22">
        <f t="shared" si="6"/>
        <v>0</v>
      </c>
      <c r="J13" s="22">
        <f t="shared" si="6"/>
        <v>0</v>
      </c>
      <c r="K13" s="22">
        <f t="shared" si="6"/>
        <v>0</v>
      </c>
      <c r="L13" s="22">
        <f t="shared" si="6"/>
        <v>0</v>
      </c>
      <c r="M13" s="22">
        <f t="shared" si="6"/>
        <v>1</v>
      </c>
      <c r="N13" s="22">
        <f t="shared" si="6"/>
        <v>0</v>
      </c>
      <c r="O13" s="23"/>
    </row>
    <row r="14">
      <c r="A14" s="24">
        <v>6.0</v>
      </c>
      <c r="B14" s="14" t="s">
        <v>26</v>
      </c>
      <c r="C14" s="25" t="s">
        <v>27</v>
      </c>
      <c r="D14" s="16" t="s">
        <v>28</v>
      </c>
      <c r="E14" s="17" t="s">
        <v>29</v>
      </c>
      <c r="F14" s="17" t="s">
        <v>29</v>
      </c>
      <c r="G14" s="17" t="s">
        <v>28</v>
      </c>
      <c r="H14" s="17" t="s">
        <v>28</v>
      </c>
      <c r="I14" s="17" t="s">
        <v>29</v>
      </c>
      <c r="J14" s="17" t="s">
        <v>28</v>
      </c>
      <c r="K14" s="17" t="s">
        <v>28</v>
      </c>
      <c r="L14" s="17" t="s">
        <v>28</v>
      </c>
      <c r="M14" s="17" t="s">
        <v>28</v>
      </c>
      <c r="N14" s="17" t="s">
        <v>29</v>
      </c>
      <c r="O14" s="18"/>
    </row>
    <row r="15" hidden="1">
      <c r="A15" s="24"/>
      <c r="B15" s="14"/>
      <c r="C15" s="25"/>
      <c r="D15" s="16" t="s">
        <v>10</v>
      </c>
      <c r="E15" s="22">
        <f t="shared" ref="E15:N15" si="7">if(E14=$D14,1,0)</f>
        <v>0</v>
      </c>
      <c r="F15" s="22">
        <f t="shared" si="7"/>
        <v>0</v>
      </c>
      <c r="G15" s="22">
        <f t="shared" si="7"/>
        <v>1</v>
      </c>
      <c r="H15" s="22">
        <f t="shared" si="7"/>
        <v>1</v>
      </c>
      <c r="I15" s="22">
        <f t="shared" si="7"/>
        <v>0</v>
      </c>
      <c r="J15" s="22">
        <f t="shared" si="7"/>
        <v>1</v>
      </c>
      <c r="K15" s="22">
        <f t="shared" si="7"/>
        <v>1</v>
      </c>
      <c r="L15" s="22">
        <f t="shared" si="7"/>
        <v>1</v>
      </c>
      <c r="M15" s="22">
        <f t="shared" si="7"/>
        <v>1</v>
      </c>
      <c r="N15" s="22">
        <f t="shared" si="7"/>
        <v>0</v>
      </c>
      <c r="O15" s="23"/>
    </row>
    <row r="16">
      <c r="A16" s="24">
        <v>7.0</v>
      </c>
      <c r="B16" s="14" t="s">
        <v>30</v>
      </c>
      <c r="C16" s="25" t="s">
        <v>23</v>
      </c>
      <c r="D16" s="16" t="s">
        <v>24</v>
      </c>
      <c r="E16" s="17" t="s">
        <v>25</v>
      </c>
      <c r="F16" s="17" t="s">
        <v>25</v>
      </c>
      <c r="G16" s="17" t="s">
        <v>25</v>
      </c>
      <c r="H16" s="17" t="s">
        <v>24</v>
      </c>
      <c r="I16" s="17" t="s">
        <v>25</v>
      </c>
      <c r="J16" s="17" t="s">
        <v>24</v>
      </c>
      <c r="K16" s="17" t="s">
        <v>25</v>
      </c>
      <c r="L16" s="17" t="s">
        <v>25</v>
      </c>
      <c r="M16" s="17" t="s">
        <v>25</v>
      </c>
      <c r="N16" s="17" t="s">
        <v>25</v>
      </c>
      <c r="O16" s="18"/>
    </row>
    <row r="17" hidden="1">
      <c r="A17" s="24"/>
      <c r="B17" s="14"/>
      <c r="C17" s="25"/>
      <c r="D17" s="16"/>
      <c r="E17" s="22">
        <f t="shared" ref="E17:N17" si="8">if(E16=$D16,1,0)</f>
        <v>0</v>
      </c>
      <c r="F17" s="22">
        <f t="shared" si="8"/>
        <v>0</v>
      </c>
      <c r="G17" s="22">
        <f t="shared" si="8"/>
        <v>0</v>
      </c>
      <c r="H17" s="22">
        <f t="shared" si="8"/>
        <v>1</v>
      </c>
      <c r="I17" s="22">
        <f t="shared" si="8"/>
        <v>0</v>
      </c>
      <c r="J17" s="22">
        <f t="shared" si="8"/>
        <v>1</v>
      </c>
      <c r="K17" s="22">
        <f t="shared" si="8"/>
        <v>0</v>
      </c>
      <c r="L17" s="22">
        <f t="shared" si="8"/>
        <v>0</v>
      </c>
      <c r="M17" s="22">
        <f t="shared" si="8"/>
        <v>0</v>
      </c>
      <c r="N17" s="22">
        <f t="shared" si="8"/>
        <v>0</v>
      </c>
      <c r="O17" s="23"/>
    </row>
    <row r="18">
      <c r="A18" s="24">
        <v>8.0</v>
      </c>
      <c r="B18" s="14" t="s">
        <v>31</v>
      </c>
      <c r="C18" s="25" t="s">
        <v>23</v>
      </c>
      <c r="D18" s="16" t="s">
        <v>25</v>
      </c>
      <c r="E18" s="17" t="s">
        <v>24</v>
      </c>
      <c r="F18" s="17" t="s">
        <v>25</v>
      </c>
      <c r="G18" s="17" t="s">
        <v>24</v>
      </c>
      <c r="H18" s="17" t="s">
        <v>24</v>
      </c>
      <c r="I18" s="17" t="s">
        <v>24</v>
      </c>
      <c r="J18" s="17" t="s">
        <v>24</v>
      </c>
      <c r="K18" s="17" t="s">
        <v>24</v>
      </c>
      <c r="L18" s="17" t="s">
        <v>25</v>
      </c>
      <c r="M18" s="17" t="s">
        <v>24</v>
      </c>
      <c r="N18" s="17" t="s">
        <v>24</v>
      </c>
      <c r="O18" s="18"/>
    </row>
    <row r="19" hidden="1">
      <c r="A19" s="24"/>
      <c r="B19" s="14"/>
      <c r="C19" s="25"/>
      <c r="D19" s="16"/>
      <c r="E19" s="22">
        <f t="shared" ref="E19:N19" si="9">if(E18=$D18,1,0)</f>
        <v>0</v>
      </c>
      <c r="F19" s="22">
        <f t="shared" si="9"/>
        <v>1</v>
      </c>
      <c r="G19" s="22">
        <f t="shared" si="9"/>
        <v>0</v>
      </c>
      <c r="H19" s="22">
        <f t="shared" si="9"/>
        <v>0</v>
      </c>
      <c r="I19" s="22">
        <f t="shared" si="9"/>
        <v>0</v>
      </c>
      <c r="J19" s="22">
        <f t="shared" si="9"/>
        <v>0</v>
      </c>
      <c r="K19" s="22">
        <f t="shared" si="9"/>
        <v>0</v>
      </c>
      <c r="L19" s="22">
        <f t="shared" si="9"/>
        <v>1</v>
      </c>
      <c r="M19" s="22">
        <f t="shared" si="9"/>
        <v>0</v>
      </c>
      <c r="N19" s="22">
        <f t="shared" si="9"/>
        <v>0</v>
      </c>
      <c r="O19" s="23"/>
    </row>
    <row r="20">
      <c r="A20" s="24">
        <v>9.0</v>
      </c>
      <c r="B20" s="14" t="s">
        <v>32</v>
      </c>
      <c r="C20" s="25" t="s">
        <v>23</v>
      </c>
      <c r="D20" s="16" t="s">
        <v>24</v>
      </c>
      <c r="E20" s="17" t="s">
        <v>24</v>
      </c>
      <c r="F20" s="17" t="s">
        <v>25</v>
      </c>
      <c r="G20" s="17" t="s">
        <v>24</v>
      </c>
      <c r="H20" s="17" t="s">
        <v>24</v>
      </c>
      <c r="I20" s="17" t="s">
        <v>24</v>
      </c>
      <c r="J20" s="17" t="s">
        <v>24</v>
      </c>
      <c r="K20" s="17" t="s">
        <v>24</v>
      </c>
      <c r="L20" s="17" t="s">
        <v>24</v>
      </c>
      <c r="M20" s="17" t="s">
        <v>24</v>
      </c>
      <c r="N20" s="17" t="s">
        <v>24</v>
      </c>
      <c r="O20" s="18"/>
    </row>
    <row r="21" hidden="1">
      <c r="A21" s="24"/>
      <c r="B21" s="14"/>
      <c r="C21" s="25"/>
      <c r="D21" s="16"/>
      <c r="E21" s="22">
        <f t="shared" ref="E21:N21" si="10">if(E20=$D20,1,0)</f>
        <v>1</v>
      </c>
      <c r="F21" s="22">
        <f t="shared" si="10"/>
        <v>0</v>
      </c>
      <c r="G21" s="22">
        <f t="shared" si="10"/>
        <v>1</v>
      </c>
      <c r="H21" s="22">
        <f t="shared" si="10"/>
        <v>1</v>
      </c>
      <c r="I21" s="22">
        <f t="shared" si="10"/>
        <v>1</v>
      </c>
      <c r="J21" s="22">
        <f t="shared" si="10"/>
        <v>1</v>
      </c>
      <c r="K21" s="22">
        <f t="shared" si="10"/>
        <v>1</v>
      </c>
      <c r="L21" s="22">
        <f t="shared" si="10"/>
        <v>1</v>
      </c>
      <c r="M21" s="22">
        <f t="shared" si="10"/>
        <v>1</v>
      </c>
      <c r="N21" s="22">
        <f t="shared" si="10"/>
        <v>1</v>
      </c>
      <c r="O21" s="23"/>
    </row>
    <row r="22">
      <c r="A22" s="24">
        <v>10.0</v>
      </c>
      <c r="B22" s="14" t="s">
        <v>33</v>
      </c>
      <c r="C22" s="25" t="s">
        <v>13</v>
      </c>
      <c r="D22" s="16" t="s">
        <v>15</v>
      </c>
      <c r="E22" s="17" t="s">
        <v>14</v>
      </c>
      <c r="F22" s="17" t="s">
        <v>15</v>
      </c>
      <c r="G22" s="17" t="s">
        <v>15</v>
      </c>
      <c r="H22" s="17" t="s">
        <v>15</v>
      </c>
      <c r="I22" s="17" t="s">
        <v>15</v>
      </c>
      <c r="J22" s="17" t="s">
        <v>15</v>
      </c>
      <c r="K22" s="17" t="s">
        <v>15</v>
      </c>
      <c r="L22" s="17" t="s">
        <v>14</v>
      </c>
      <c r="M22" s="17" t="s">
        <v>15</v>
      </c>
      <c r="N22" s="17" t="s">
        <v>15</v>
      </c>
      <c r="O22" s="18"/>
    </row>
    <row r="23" hidden="1">
      <c r="A23" s="24"/>
      <c r="B23" s="14"/>
      <c r="C23" s="25"/>
      <c r="D23" s="16"/>
      <c r="E23" s="22">
        <f t="shared" ref="E23:N23" si="11">if(E22=$D22,1,0)</f>
        <v>0</v>
      </c>
      <c r="F23" s="22">
        <f t="shared" si="11"/>
        <v>1</v>
      </c>
      <c r="G23" s="22">
        <f t="shared" si="11"/>
        <v>1</v>
      </c>
      <c r="H23" s="22">
        <f t="shared" si="11"/>
        <v>1</v>
      </c>
      <c r="I23" s="22">
        <f t="shared" si="11"/>
        <v>1</v>
      </c>
      <c r="J23" s="22">
        <f t="shared" si="11"/>
        <v>1</v>
      </c>
      <c r="K23" s="22">
        <f t="shared" si="11"/>
        <v>1</v>
      </c>
      <c r="L23" s="22">
        <f t="shared" si="11"/>
        <v>0</v>
      </c>
      <c r="M23" s="22">
        <f t="shared" si="11"/>
        <v>1</v>
      </c>
      <c r="N23" s="22">
        <f t="shared" si="11"/>
        <v>1</v>
      </c>
      <c r="O23" s="23"/>
    </row>
    <row r="24">
      <c r="A24" s="24">
        <v>11.0</v>
      </c>
      <c r="B24" s="14" t="s">
        <v>34</v>
      </c>
      <c r="C24" s="25" t="s">
        <v>23</v>
      </c>
      <c r="D24" s="16" t="s">
        <v>24</v>
      </c>
      <c r="E24" s="17" t="s">
        <v>24</v>
      </c>
      <c r="F24" s="17" t="s">
        <v>25</v>
      </c>
      <c r="G24" s="17" t="s">
        <v>25</v>
      </c>
      <c r="H24" s="17" t="s">
        <v>25</v>
      </c>
      <c r="I24" s="17" t="s">
        <v>25</v>
      </c>
      <c r="J24" s="17" t="s">
        <v>25</v>
      </c>
      <c r="K24" s="17" t="s">
        <v>25</v>
      </c>
      <c r="L24" s="17" t="s">
        <v>25</v>
      </c>
      <c r="M24" s="17" t="s">
        <v>25</v>
      </c>
      <c r="N24" s="17" t="s">
        <v>25</v>
      </c>
      <c r="O24" s="18"/>
    </row>
    <row r="25" hidden="1">
      <c r="A25" s="24"/>
      <c r="B25" s="14"/>
      <c r="C25" s="25"/>
      <c r="D25" s="16"/>
      <c r="E25" s="22">
        <f t="shared" ref="E25:N25" si="12">if(E24=$D24,1,0)</f>
        <v>1</v>
      </c>
      <c r="F25" s="22">
        <f t="shared" si="12"/>
        <v>0</v>
      </c>
      <c r="G25" s="22">
        <f t="shared" si="12"/>
        <v>0</v>
      </c>
      <c r="H25" s="22">
        <f t="shared" si="12"/>
        <v>0</v>
      </c>
      <c r="I25" s="22">
        <f t="shared" si="12"/>
        <v>0</v>
      </c>
      <c r="J25" s="22">
        <f t="shared" si="12"/>
        <v>0</v>
      </c>
      <c r="K25" s="22">
        <f t="shared" si="12"/>
        <v>0</v>
      </c>
      <c r="L25" s="22">
        <f t="shared" si="12"/>
        <v>0</v>
      </c>
      <c r="M25" s="22">
        <f t="shared" si="12"/>
        <v>0</v>
      </c>
      <c r="N25" s="22">
        <f t="shared" si="12"/>
        <v>0</v>
      </c>
      <c r="O25" s="23"/>
    </row>
    <row r="26">
      <c r="A26" s="24">
        <v>12.0</v>
      </c>
      <c r="B26" s="14" t="s">
        <v>35</v>
      </c>
      <c r="C26" s="25" t="s">
        <v>23</v>
      </c>
      <c r="D26" s="16" t="s">
        <v>24</v>
      </c>
      <c r="E26" s="17" t="s">
        <v>24</v>
      </c>
      <c r="F26" s="17" t="s">
        <v>25</v>
      </c>
      <c r="G26" s="17" t="s">
        <v>25</v>
      </c>
      <c r="H26" s="17" t="s">
        <v>24</v>
      </c>
      <c r="I26" s="17" t="s">
        <v>25</v>
      </c>
      <c r="J26" s="17" t="s">
        <v>25</v>
      </c>
      <c r="K26" s="17" t="s">
        <v>24</v>
      </c>
      <c r="L26" s="17" t="s">
        <v>24</v>
      </c>
      <c r="M26" s="17" t="s">
        <v>25</v>
      </c>
      <c r="N26" s="17" t="s">
        <v>24</v>
      </c>
      <c r="O26" s="18"/>
    </row>
    <row r="27" hidden="1">
      <c r="A27" s="24"/>
      <c r="B27" s="14"/>
      <c r="C27" s="25"/>
      <c r="D27" s="16"/>
      <c r="E27" s="22">
        <f t="shared" ref="E27:N27" si="13">if(E26=$D26,1,0)</f>
        <v>1</v>
      </c>
      <c r="F27" s="22">
        <f t="shared" si="13"/>
        <v>0</v>
      </c>
      <c r="G27" s="22">
        <f t="shared" si="13"/>
        <v>0</v>
      </c>
      <c r="H27" s="22">
        <f t="shared" si="13"/>
        <v>1</v>
      </c>
      <c r="I27" s="22">
        <f t="shared" si="13"/>
        <v>0</v>
      </c>
      <c r="J27" s="22">
        <f t="shared" si="13"/>
        <v>0</v>
      </c>
      <c r="K27" s="22">
        <f t="shared" si="13"/>
        <v>1</v>
      </c>
      <c r="L27" s="22">
        <f t="shared" si="13"/>
        <v>1</v>
      </c>
      <c r="M27" s="22">
        <f t="shared" si="13"/>
        <v>0</v>
      </c>
      <c r="N27" s="22">
        <f t="shared" si="13"/>
        <v>1</v>
      </c>
      <c r="O27" s="23"/>
    </row>
    <row r="28">
      <c r="A28" s="24">
        <v>13.0</v>
      </c>
      <c r="B28" s="14" t="s">
        <v>36</v>
      </c>
      <c r="C28" s="25" t="s">
        <v>23</v>
      </c>
      <c r="D28" s="16" t="s">
        <v>25</v>
      </c>
      <c r="E28" s="17" t="s">
        <v>24</v>
      </c>
      <c r="F28" s="17" t="s">
        <v>24</v>
      </c>
      <c r="G28" s="17" t="s">
        <v>25</v>
      </c>
      <c r="H28" s="17" t="s">
        <v>25</v>
      </c>
      <c r="I28" s="17" t="s">
        <v>25</v>
      </c>
      <c r="J28" s="17" t="s">
        <v>25</v>
      </c>
      <c r="K28" s="17" t="s">
        <v>25</v>
      </c>
      <c r="L28" s="17" t="s">
        <v>24</v>
      </c>
      <c r="M28" s="17" t="s">
        <v>25</v>
      </c>
      <c r="N28" s="17" t="s">
        <v>25</v>
      </c>
      <c r="O28" s="18"/>
    </row>
    <row r="29" hidden="1">
      <c r="A29" s="24"/>
      <c r="B29" s="14"/>
      <c r="C29" s="25"/>
      <c r="D29" s="16"/>
      <c r="E29" s="22">
        <f t="shared" ref="E29:N29" si="14">if(E28=$D28,1,0)</f>
        <v>0</v>
      </c>
      <c r="F29" s="22">
        <f t="shared" si="14"/>
        <v>0</v>
      </c>
      <c r="G29" s="22">
        <f t="shared" si="14"/>
        <v>1</v>
      </c>
      <c r="H29" s="22">
        <f t="shared" si="14"/>
        <v>1</v>
      </c>
      <c r="I29" s="22">
        <f t="shared" si="14"/>
        <v>1</v>
      </c>
      <c r="J29" s="22">
        <f t="shared" si="14"/>
        <v>1</v>
      </c>
      <c r="K29" s="22">
        <f t="shared" si="14"/>
        <v>1</v>
      </c>
      <c r="L29" s="22">
        <f t="shared" si="14"/>
        <v>0</v>
      </c>
      <c r="M29" s="22">
        <f t="shared" si="14"/>
        <v>1</v>
      </c>
      <c r="N29" s="22">
        <f t="shared" si="14"/>
        <v>1</v>
      </c>
      <c r="O29" s="23"/>
    </row>
    <row r="30">
      <c r="A30" s="24">
        <v>14.0</v>
      </c>
      <c r="B30" s="14" t="s">
        <v>37</v>
      </c>
      <c r="C30" s="25" t="s">
        <v>23</v>
      </c>
      <c r="D30" s="16" t="s">
        <v>25</v>
      </c>
      <c r="E30" s="17" t="s">
        <v>24</v>
      </c>
      <c r="F30" s="17" t="s">
        <v>24</v>
      </c>
      <c r="G30" s="17" t="s">
        <v>24</v>
      </c>
      <c r="H30" s="17" t="s">
        <v>24</v>
      </c>
      <c r="I30" s="17" t="s">
        <v>25</v>
      </c>
      <c r="J30" s="17" t="s">
        <v>25</v>
      </c>
      <c r="K30" s="17" t="s">
        <v>24</v>
      </c>
      <c r="L30" s="17" t="s">
        <v>25</v>
      </c>
      <c r="M30" s="17" t="s">
        <v>24</v>
      </c>
      <c r="N30" s="17" t="s">
        <v>24</v>
      </c>
      <c r="O30" s="18"/>
    </row>
    <row r="31" hidden="1">
      <c r="A31" s="24"/>
      <c r="B31" s="14"/>
      <c r="C31" s="25"/>
      <c r="D31" s="16"/>
      <c r="E31" s="22">
        <f t="shared" ref="E31:N31" si="15">if(E30=$D30,1,0)</f>
        <v>0</v>
      </c>
      <c r="F31" s="22">
        <f t="shared" si="15"/>
        <v>0</v>
      </c>
      <c r="G31" s="22">
        <f t="shared" si="15"/>
        <v>0</v>
      </c>
      <c r="H31" s="22">
        <f t="shared" si="15"/>
        <v>0</v>
      </c>
      <c r="I31" s="22">
        <f t="shared" si="15"/>
        <v>1</v>
      </c>
      <c r="J31" s="22">
        <f t="shared" si="15"/>
        <v>1</v>
      </c>
      <c r="K31" s="22">
        <f t="shared" si="15"/>
        <v>0</v>
      </c>
      <c r="L31" s="22">
        <f t="shared" si="15"/>
        <v>1</v>
      </c>
      <c r="M31" s="22">
        <f t="shared" si="15"/>
        <v>0</v>
      </c>
      <c r="N31" s="22">
        <f t="shared" si="15"/>
        <v>0</v>
      </c>
      <c r="O31" s="23"/>
    </row>
    <row r="32">
      <c r="A32" s="24">
        <v>15.0</v>
      </c>
      <c r="B32" s="14" t="s">
        <v>38</v>
      </c>
      <c r="C32" s="25" t="s">
        <v>13</v>
      </c>
      <c r="D32" s="16" t="s">
        <v>14</v>
      </c>
      <c r="E32" s="17" t="s">
        <v>15</v>
      </c>
      <c r="F32" s="17" t="s">
        <v>14</v>
      </c>
      <c r="G32" s="17" t="s">
        <v>14</v>
      </c>
      <c r="H32" s="17" t="s">
        <v>15</v>
      </c>
      <c r="I32" s="17" t="s">
        <v>15</v>
      </c>
      <c r="J32" s="17" t="s">
        <v>15</v>
      </c>
      <c r="K32" s="17" t="s">
        <v>14</v>
      </c>
      <c r="L32" s="17" t="s">
        <v>14</v>
      </c>
      <c r="M32" s="17" t="s">
        <v>15</v>
      </c>
      <c r="N32" s="17" t="s">
        <v>14</v>
      </c>
      <c r="O32" s="18"/>
    </row>
    <row r="33" hidden="1">
      <c r="A33" s="24"/>
      <c r="B33" s="14"/>
      <c r="C33" s="25"/>
      <c r="D33" s="16"/>
      <c r="E33" s="22">
        <f t="shared" ref="E33:N33" si="16">if(E32=$D32,1,0)</f>
        <v>0</v>
      </c>
      <c r="F33" s="22">
        <f t="shared" si="16"/>
        <v>1</v>
      </c>
      <c r="G33" s="22">
        <f t="shared" si="16"/>
        <v>1</v>
      </c>
      <c r="H33" s="22">
        <f t="shared" si="16"/>
        <v>0</v>
      </c>
      <c r="I33" s="22">
        <f t="shared" si="16"/>
        <v>0</v>
      </c>
      <c r="J33" s="22">
        <f t="shared" si="16"/>
        <v>0</v>
      </c>
      <c r="K33" s="22">
        <f t="shared" si="16"/>
        <v>1</v>
      </c>
      <c r="L33" s="22">
        <f t="shared" si="16"/>
        <v>1</v>
      </c>
      <c r="M33" s="22">
        <f t="shared" si="16"/>
        <v>0</v>
      </c>
      <c r="N33" s="22">
        <f t="shared" si="16"/>
        <v>1</v>
      </c>
      <c r="O33" s="23"/>
    </row>
    <row r="34">
      <c r="A34" s="24">
        <v>16.0</v>
      </c>
      <c r="B34" s="14" t="s">
        <v>39</v>
      </c>
      <c r="C34" s="25" t="s">
        <v>23</v>
      </c>
      <c r="D34" s="16" t="s">
        <v>25</v>
      </c>
      <c r="E34" s="17" t="s">
        <v>24</v>
      </c>
      <c r="F34" s="17" t="s">
        <v>25</v>
      </c>
      <c r="G34" s="17" t="s">
        <v>25</v>
      </c>
      <c r="H34" s="17" t="s">
        <v>25</v>
      </c>
      <c r="I34" s="17" t="s">
        <v>25</v>
      </c>
      <c r="J34" s="17" t="s">
        <v>25</v>
      </c>
      <c r="K34" s="17" t="s">
        <v>25</v>
      </c>
      <c r="L34" s="17" t="s">
        <v>25</v>
      </c>
      <c r="M34" s="17" t="s">
        <v>25</v>
      </c>
      <c r="N34" s="17" t="s">
        <v>25</v>
      </c>
      <c r="O34" s="18"/>
    </row>
    <row r="35" hidden="1">
      <c r="A35" s="24"/>
      <c r="B35" s="14"/>
      <c r="C35" s="25"/>
      <c r="D35" s="16"/>
      <c r="E35" s="26">
        <f t="shared" ref="E35:N35" si="17">if(E34=$D34,1,0)</f>
        <v>0</v>
      </c>
      <c r="F35" s="26">
        <f t="shared" si="17"/>
        <v>1</v>
      </c>
      <c r="G35" s="26">
        <f t="shared" si="17"/>
        <v>1</v>
      </c>
      <c r="H35" s="26">
        <f t="shared" si="17"/>
        <v>1</v>
      </c>
      <c r="I35" s="26">
        <f t="shared" si="17"/>
        <v>1</v>
      </c>
      <c r="J35" s="26">
        <f t="shared" si="17"/>
        <v>1</v>
      </c>
      <c r="K35" s="26">
        <f t="shared" si="17"/>
        <v>1</v>
      </c>
      <c r="L35" s="26">
        <f t="shared" si="17"/>
        <v>1</v>
      </c>
      <c r="M35" s="26">
        <f t="shared" si="17"/>
        <v>1</v>
      </c>
      <c r="N35" s="26">
        <f t="shared" si="17"/>
        <v>1</v>
      </c>
      <c r="O35" s="23"/>
    </row>
    <row r="36">
      <c r="A36" s="24">
        <v>17.0</v>
      </c>
      <c r="B36" s="14" t="s">
        <v>40</v>
      </c>
      <c r="C36" s="25" t="s">
        <v>13</v>
      </c>
      <c r="D36" s="16" t="s">
        <v>14</v>
      </c>
      <c r="E36" s="17" t="s">
        <v>15</v>
      </c>
      <c r="F36" s="17" t="s">
        <v>14</v>
      </c>
      <c r="G36" s="17" t="s">
        <v>15</v>
      </c>
      <c r="H36" s="17" t="s">
        <v>15</v>
      </c>
      <c r="I36" s="17" t="s">
        <v>14</v>
      </c>
      <c r="J36" s="17" t="s">
        <v>14</v>
      </c>
      <c r="K36" s="17" t="s">
        <v>15</v>
      </c>
      <c r="L36" s="17" t="s">
        <v>15</v>
      </c>
      <c r="M36" s="17" t="s">
        <v>14</v>
      </c>
      <c r="N36" s="17" t="s">
        <v>15</v>
      </c>
      <c r="O36" s="18"/>
    </row>
    <row r="37" hidden="1">
      <c r="A37" s="24"/>
      <c r="B37" s="14"/>
      <c r="C37" s="25"/>
      <c r="D37" s="16"/>
      <c r="E37" s="22">
        <f t="shared" ref="E37:N37" si="18">if(E36=$D36,1,0)</f>
        <v>0</v>
      </c>
      <c r="F37" s="22">
        <f t="shared" si="18"/>
        <v>1</v>
      </c>
      <c r="G37" s="22">
        <f t="shared" si="18"/>
        <v>0</v>
      </c>
      <c r="H37" s="22">
        <f t="shared" si="18"/>
        <v>0</v>
      </c>
      <c r="I37" s="22">
        <f t="shared" si="18"/>
        <v>1</v>
      </c>
      <c r="J37" s="22">
        <f t="shared" si="18"/>
        <v>1</v>
      </c>
      <c r="K37" s="22">
        <f t="shared" si="18"/>
        <v>0</v>
      </c>
      <c r="L37" s="22">
        <f t="shared" si="18"/>
        <v>0</v>
      </c>
      <c r="M37" s="22">
        <f t="shared" si="18"/>
        <v>1</v>
      </c>
      <c r="N37" s="22">
        <f t="shared" si="18"/>
        <v>0</v>
      </c>
      <c r="O37" s="23"/>
    </row>
    <row r="38">
      <c r="A38" s="24">
        <v>18.0</v>
      </c>
      <c r="B38" s="14" t="s">
        <v>41</v>
      </c>
      <c r="C38" s="25" t="s">
        <v>27</v>
      </c>
      <c r="D38" s="16" t="s">
        <v>28</v>
      </c>
      <c r="E38" s="17" t="s">
        <v>28</v>
      </c>
      <c r="F38" s="17" t="s">
        <v>29</v>
      </c>
      <c r="G38" s="17" t="s">
        <v>28</v>
      </c>
      <c r="H38" s="17" t="s">
        <v>29</v>
      </c>
      <c r="I38" s="17" t="s">
        <v>28</v>
      </c>
      <c r="J38" s="17" t="s">
        <v>28</v>
      </c>
      <c r="K38" s="17" t="s">
        <v>29</v>
      </c>
      <c r="L38" s="17" t="s">
        <v>29</v>
      </c>
      <c r="M38" s="17" t="s">
        <v>28</v>
      </c>
      <c r="N38" s="17" t="s">
        <v>28</v>
      </c>
      <c r="O38" s="18"/>
    </row>
    <row r="39" hidden="1">
      <c r="A39" s="24"/>
      <c r="B39" s="14"/>
      <c r="C39" s="25"/>
      <c r="D39" s="16"/>
      <c r="E39" s="22">
        <f t="shared" ref="E39:N39" si="19">if(E38=$D38,1,0)</f>
        <v>1</v>
      </c>
      <c r="F39" s="22">
        <f t="shared" si="19"/>
        <v>0</v>
      </c>
      <c r="G39" s="22">
        <f t="shared" si="19"/>
        <v>1</v>
      </c>
      <c r="H39" s="22">
        <f t="shared" si="19"/>
        <v>0</v>
      </c>
      <c r="I39" s="22">
        <f t="shared" si="19"/>
        <v>1</v>
      </c>
      <c r="J39" s="22">
        <f t="shared" si="19"/>
        <v>1</v>
      </c>
      <c r="K39" s="22">
        <f t="shared" si="19"/>
        <v>0</v>
      </c>
      <c r="L39" s="22">
        <f t="shared" si="19"/>
        <v>0</v>
      </c>
      <c r="M39" s="22">
        <f t="shared" si="19"/>
        <v>1</v>
      </c>
      <c r="N39" s="22">
        <f t="shared" si="19"/>
        <v>1</v>
      </c>
      <c r="O39" s="23"/>
    </row>
    <row r="40">
      <c r="A40" s="24">
        <v>19.0</v>
      </c>
      <c r="B40" s="14" t="s">
        <v>42</v>
      </c>
      <c r="C40" s="25" t="s">
        <v>43</v>
      </c>
      <c r="D40" s="16" t="s">
        <v>44</v>
      </c>
      <c r="E40" s="17" t="s">
        <v>25</v>
      </c>
      <c r="F40" s="17" t="s">
        <v>44</v>
      </c>
      <c r="G40" s="17" t="s">
        <v>44</v>
      </c>
      <c r="H40" s="17" t="s">
        <v>25</v>
      </c>
      <c r="I40" s="17" t="s">
        <v>25</v>
      </c>
      <c r="J40" s="17" t="s">
        <v>25</v>
      </c>
      <c r="K40" s="17" t="s">
        <v>25</v>
      </c>
      <c r="L40" s="17" t="s">
        <v>25</v>
      </c>
      <c r="M40" s="17" t="s">
        <v>44</v>
      </c>
      <c r="N40" s="17" t="s">
        <v>25</v>
      </c>
      <c r="O40" s="18"/>
    </row>
    <row r="41" hidden="1">
      <c r="A41" s="24"/>
      <c r="B41" s="14"/>
      <c r="C41" s="25"/>
      <c r="D41" s="16"/>
      <c r="E41" s="22">
        <f t="shared" ref="E41:N41" si="20">if(E40=$D40,1,0)</f>
        <v>0</v>
      </c>
      <c r="F41" s="22">
        <f t="shared" si="20"/>
        <v>1</v>
      </c>
      <c r="G41" s="22">
        <f t="shared" si="20"/>
        <v>1</v>
      </c>
      <c r="H41" s="22">
        <f t="shared" si="20"/>
        <v>0</v>
      </c>
      <c r="I41" s="22">
        <f t="shared" si="20"/>
        <v>0</v>
      </c>
      <c r="J41" s="22">
        <f t="shared" si="20"/>
        <v>0</v>
      </c>
      <c r="K41" s="22">
        <f t="shared" si="20"/>
        <v>0</v>
      </c>
      <c r="L41" s="22">
        <f t="shared" si="20"/>
        <v>0</v>
      </c>
      <c r="M41" s="22">
        <f t="shared" si="20"/>
        <v>1</v>
      </c>
      <c r="N41" s="22">
        <f t="shared" si="20"/>
        <v>0</v>
      </c>
      <c r="O41" s="23"/>
    </row>
    <row r="42">
      <c r="A42" s="24">
        <v>20.0</v>
      </c>
      <c r="B42" s="14" t="s">
        <v>45</v>
      </c>
      <c r="C42" s="25" t="s">
        <v>27</v>
      </c>
      <c r="D42" s="16" t="s">
        <v>28</v>
      </c>
      <c r="E42" s="17" t="s">
        <v>29</v>
      </c>
      <c r="F42" s="17" t="s">
        <v>29</v>
      </c>
      <c r="G42" s="17" t="s">
        <v>29</v>
      </c>
      <c r="H42" s="17" t="s">
        <v>28</v>
      </c>
      <c r="I42" s="17" t="s">
        <v>29</v>
      </c>
      <c r="J42" s="17" t="s">
        <v>28</v>
      </c>
      <c r="K42" s="17" t="s">
        <v>29</v>
      </c>
      <c r="L42" s="17" t="s">
        <v>29</v>
      </c>
      <c r="M42" s="17" t="s">
        <v>28</v>
      </c>
      <c r="N42" s="17" t="s">
        <v>28</v>
      </c>
      <c r="O42" s="18"/>
    </row>
    <row r="43" hidden="1">
      <c r="A43" s="24"/>
      <c r="B43" s="14"/>
      <c r="C43" s="25"/>
      <c r="D43" s="16"/>
      <c r="E43" s="22">
        <f t="shared" ref="E43:N43" si="21">if(E42=$D42,1,0)</f>
        <v>0</v>
      </c>
      <c r="F43" s="22">
        <f t="shared" si="21"/>
        <v>0</v>
      </c>
      <c r="G43" s="22">
        <f t="shared" si="21"/>
        <v>0</v>
      </c>
      <c r="H43" s="22">
        <f t="shared" si="21"/>
        <v>1</v>
      </c>
      <c r="I43" s="22">
        <f t="shared" si="21"/>
        <v>0</v>
      </c>
      <c r="J43" s="22">
        <f t="shared" si="21"/>
        <v>1</v>
      </c>
      <c r="K43" s="22">
        <f t="shared" si="21"/>
        <v>0</v>
      </c>
      <c r="L43" s="22">
        <f t="shared" si="21"/>
        <v>0</v>
      </c>
      <c r="M43" s="22">
        <f t="shared" si="21"/>
        <v>1</v>
      </c>
      <c r="N43" s="22">
        <f t="shared" si="21"/>
        <v>1</v>
      </c>
      <c r="O43" s="23"/>
    </row>
    <row r="44">
      <c r="A44" s="24">
        <v>21.0</v>
      </c>
      <c r="B44" s="14" t="s">
        <v>46</v>
      </c>
      <c r="C44" s="25"/>
      <c r="D44" s="16">
        <v>40.0</v>
      </c>
      <c r="E44" s="17">
        <v>53.0</v>
      </c>
      <c r="F44" s="17">
        <v>49.0</v>
      </c>
      <c r="G44" s="17">
        <v>52.0</v>
      </c>
      <c r="H44" s="17">
        <v>57.0</v>
      </c>
      <c r="I44" s="17">
        <v>55.0</v>
      </c>
      <c r="J44" s="17">
        <v>51.0</v>
      </c>
      <c r="K44" s="17">
        <v>58.0</v>
      </c>
      <c r="L44" s="17">
        <v>65.0</v>
      </c>
      <c r="M44" s="17">
        <v>62.0</v>
      </c>
      <c r="N44" s="17">
        <v>72.0</v>
      </c>
      <c r="O44" s="18"/>
    </row>
    <row r="45">
      <c r="A45" s="24"/>
      <c r="B45" s="14"/>
      <c r="C45" s="25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</sheetData>
  <mergeCells count="2">
    <mergeCell ref="B1:C1"/>
    <mergeCell ref="A2:D2"/>
  </mergeCells>
  <conditionalFormatting sqref="B1">
    <cfRule type="expression" dxfId="0" priority="1">
      <formula>RegExMatch(($C1),"Done")</formula>
    </cfRule>
  </conditionalFormatting>
  <conditionalFormatting sqref="B3">
    <cfRule type="expression" dxfId="0" priority="2">
      <formula>RegExMatch((#REF!),"Done")</formula>
    </cfRule>
  </conditionalFormatting>
  <conditionalFormatting sqref="A3:A47">
    <cfRule type="expression" dxfId="0" priority="3">
      <formula>RegExMatch(($D3),"Done")</formula>
    </cfRule>
  </conditionalFormatting>
  <conditionalFormatting sqref="C4">
    <cfRule type="notContainsBlanks" dxfId="1" priority="4">
      <formula>LEN(TRIM(C4))&gt;0</formula>
    </cfRule>
  </conditionalFormatting>
  <conditionalFormatting sqref="E4">
    <cfRule type="cellIs" dxfId="2" priority="5" operator="equal">
      <formula>D4</formula>
    </cfRule>
  </conditionalFormatting>
  <conditionalFormatting sqref="F4">
    <cfRule type="cellIs" dxfId="2" priority="6" operator="equal">
      <formula>D4</formula>
    </cfRule>
  </conditionalFormatting>
  <conditionalFormatting sqref="G4">
    <cfRule type="cellIs" dxfId="2" priority="7" operator="equal">
      <formula>D4</formula>
    </cfRule>
  </conditionalFormatting>
  <conditionalFormatting sqref="H4:N4">
    <cfRule type="cellIs" dxfId="2" priority="8" operator="equal">
      <formula>$D$4</formula>
    </cfRule>
  </conditionalFormatting>
  <conditionalFormatting sqref="E6:N6">
    <cfRule type="cellIs" dxfId="2" priority="9" operator="equal">
      <formula>$D$6</formula>
    </cfRule>
  </conditionalFormatting>
  <conditionalFormatting sqref="E8:N8">
    <cfRule type="cellIs" dxfId="2" priority="10" operator="equal">
      <formula>$D$8</formula>
    </cfRule>
  </conditionalFormatting>
  <conditionalFormatting sqref="E10:N10">
    <cfRule type="cellIs" dxfId="2" priority="11" operator="equal">
      <formula>$D$10</formula>
    </cfRule>
  </conditionalFormatting>
  <conditionalFormatting sqref="E12:N12">
    <cfRule type="cellIs" dxfId="2" priority="12" operator="equal">
      <formula>$D$12</formula>
    </cfRule>
  </conditionalFormatting>
  <conditionalFormatting sqref="E14:N14">
    <cfRule type="cellIs" dxfId="2" priority="13" operator="equal">
      <formula>$D$14</formula>
    </cfRule>
  </conditionalFormatting>
  <conditionalFormatting sqref="E16:N16">
    <cfRule type="cellIs" dxfId="2" priority="14" operator="equal">
      <formula>$D$16</formula>
    </cfRule>
  </conditionalFormatting>
  <conditionalFormatting sqref="E18:N18">
    <cfRule type="cellIs" dxfId="2" priority="15" operator="equal">
      <formula>$D$18</formula>
    </cfRule>
  </conditionalFormatting>
  <conditionalFormatting sqref="E20:N20">
    <cfRule type="cellIs" dxfId="2" priority="16" operator="equal">
      <formula>$D$20</formula>
    </cfRule>
  </conditionalFormatting>
  <conditionalFormatting sqref="E22:N22">
    <cfRule type="cellIs" dxfId="2" priority="17" operator="equal">
      <formula>$D$22</formula>
    </cfRule>
  </conditionalFormatting>
  <conditionalFormatting sqref="E24:N24">
    <cfRule type="cellIs" dxfId="2" priority="18" operator="equal">
      <formula>$D$24</formula>
    </cfRule>
  </conditionalFormatting>
  <conditionalFormatting sqref="E26:N26">
    <cfRule type="cellIs" dxfId="2" priority="19" operator="equal">
      <formula>$D$26</formula>
    </cfRule>
  </conditionalFormatting>
  <conditionalFormatting sqref="E28:N28">
    <cfRule type="cellIs" dxfId="2" priority="20" operator="equal">
      <formula>$D$28</formula>
    </cfRule>
  </conditionalFormatting>
  <conditionalFormatting sqref="E30:N30">
    <cfRule type="cellIs" dxfId="2" priority="21" operator="equal">
      <formula>$D$30</formula>
    </cfRule>
  </conditionalFormatting>
  <conditionalFormatting sqref="E32:N32">
    <cfRule type="cellIs" dxfId="2" priority="22" operator="equal">
      <formula>$D$32</formula>
    </cfRule>
  </conditionalFormatting>
  <conditionalFormatting sqref="E34:N34">
    <cfRule type="cellIs" dxfId="2" priority="23" operator="equal">
      <formula>$D$34</formula>
    </cfRule>
  </conditionalFormatting>
  <conditionalFormatting sqref="E36:N36">
    <cfRule type="cellIs" dxfId="2" priority="24" operator="equal">
      <formula>$D$36</formula>
    </cfRule>
  </conditionalFormatting>
  <conditionalFormatting sqref="E38:N38">
    <cfRule type="cellIs" dxfId="2" priority="25" operator="equal">
      <formula>$D$38</formula>
    </cfRule>
  </conditionalFormatting>
  <conditionalFormatting sqref="E40:N40">
    <cfRule type="cellIs" dxfId="2" priority="26" operator="equal">
      <formula>$D$40</formula>
    </cfRule>
  </conditionalFormatting>
  <conditionalFormatting sqref="E42:N42">
    <cfRule type="cellIs" dxfId="2" priority="27" operator="equal">
      <formula>$D$42</formula>
    </cfRule>
  </conditionalFormatting>
  <drawing r:id="rId1"/>
</worksheet>
</file>