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B LIX - 2025 - Live" sheetId="1" r:id="rId4"/>
    <sheet state="visible" name="SB LVIII - 2024" sheetId="2" r:id="rId5"/>
    <sheet state="visible" name="SB LVII - 2023" sheetId="3" r:id="rId6"/>
    <sheet state="visible" name="SB LVI - 2022" sheetId="4" r:id="rId7"/>
    <sheet state="visible" name="SB LV - 2021" sheetId="5" r:id="rId8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tc={b8f7b62f-f499-4338-ac21-cf55d9b5eb1a}</author>
  </authors>
  <commentList>
    <comment authorId="0" xr:uid="{b8f7b62f-f499-4338-ac21-cf55d9b5eb1a}" ref="B4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Wager will be voided if T. Swift doesn't make it to the game
</t>
      </text>
    </comment>
  </commentList>
</comments>
</file>

<file path=xl/sharedStrings.xml><?xml version="1.0" encoding="utf-8"?>
<sst xmlns="http://schemas.openxmlformats.org/spreadsheetml/2006/main" count="1835" uniqueCount="120">
  <si>
    <t>Jim</t>
  </si>
  <si>
    <t>Susan</t>
  </si>
  <si>
    <t>Tese</t>
  </si>
  <si>
    <t>Mark</t>
  </si>
  <si>
    <t>Michelle</t>
  </si>
  <si>
    <t>Connor</t>
  </si>
  <si>
    <t>Bill</t>
  </si>
  <si>
    <t>Mary</t>
  </si>
  <si>
    <t>Kathy</t>
  </si>
  <si>
    <t>Lee</t>
  </si>
  <si>
    <t>Lindsey</t>
  </si>
  <si>
    <t>Corey</t>
  </si>
  <si>
    <t>Emily</t>
  </si>
  <si>
    <t>Chris</t>
  </si>
  <si>
    <t>Tori</t>
  </si>
  <si>
    <t xml:space="preserve"> </t>
  </si>
  <si>
    <t>Result</t>
  </si>
  <si>
    <t>Jon Batiste's National Anthem Length. Over or Under 2:00.5</t>
  </si>
  <si>
    <t>O/U</t>
  </si>
  <si>
    <t>O</t>
  </si>
  <si>
    <t>U</t>
  </si>
  <si>
    <t xml:space="preserve"> U</t>
  </si>
  <si>
    <t>Heads or Tails</t>
  </si>
  <si>
    <t>H or T</t>
  </si>
  <si>
    <t>T</t>
  </si>
  <si>
    <t>H</t>
  </si>
  <si>
    <t xml:space="preserve"> H</t>
  </si>
  <si>
    <t>First team to score</t>
  </si>
  <si>
    <t>PHL/KC</t>
  </si>
  <si>
    <t>PHL</t>
  </si>
  <si>
    <t>KC</t>
  </si>
  <si>
    <t xml:space="preserve"> KC</t>
  </si>
  <si>
    <t>Score ever be tied after 0-0</t>
  </si>
  <si>
    <t>Y/N</t>
  </si>
  <si>
    <t>N</t>
  </si>
  <si>
    <t>Y</t>
  </si>
  <si>
    <t xml:space="preserve"> Y</t>
  </si>
  <si>
    <t xml:space="preserve">First team to 10 points </t>
  </si>
  <si>
    <t>Team commits 1st accepted penalty</t>
  </si>
  <si>
    <t>Total players to attempt a pass 2.5</t>
  </si>
  <si>
    <t>Largest lead in game by either team O/U 14.5</t>
  </si>
  <si>
    <t>Yards of longest TD O/U 42.5 yds</t>
  </si>
  <si>
    <t>Which commercial will appear first? Budweiser or Bud Light?</t>
  </si>
  <si>
    <t>Budweiser or Bud Light
(B or BL)</t>
  </si>
  <si>
    <t>B</t>
  </si>
  <si>
    <t>BL</t>
  </si>
  <si>
    <t xml:space="preserve"> BL</t>
  </si>
  <si>
    <t>Saquon Barkley 99.5 yards rushing</t>
  </si>
  <si>
    <t>Total Points scored O/U 48.5</t>
  </si>
  <si>
    <t>Either QB passing yds 275.5 yds</t>
  </si>
  <si>
    <t>Mahomes 25.5 yds rushing</t>
  </si>
  <si>
    <t xml:space="preserve"> O</t>
  </si>
  <si>
    <t>Total nbr interceptions thrown O/U 1.5</t>
  </si>
  <si>
    <t>Missed field goal</t>
  </si>
  <si>
    <t>Which team scores last</t>
  </si>
  <si>
    <t>Total points odd/even</t>
  </si>
  <si>
    <t>O/E</t>
  </si>
  <si>
    <t>E</t>
  </si>
  <si>
    <t>Who wins game</t>
  </si>
  <si>
    <t>Peyton/Eli FanDuel Kick of Destiny</t>
  </si>
  <si>
    <t>P/E</t>
  </si>
  <si>
    <t>P</t>
  </si>
  <si>
    <t xml:space="preserve"> P</t>
  </si>
  <si>
    <t>Gatorade color poured on winning coach</t>
  </si>
  <si>
    <t>(O)range
(R)ed
(P)urple
(B)lue
(YG)ellow-reen
(C)lear</t>
  </si>
  <si>
    <t>YG</t>
  </si>
  <si>
    <t>R</t>
  </si>
  <si>
    <t>Camera shots to T. Swift O/U 5.5
(during play - halftime, before, and after game don't count)</t>
  </si>
  <si>
    <t>Tie breaker - total points scored</t>
  </si>
  <si>
    <t>-</t>
  </si>
  <si>
    <t>Reba McEntire's National Anthem Length. Over or Under 1:31</t>
  </si>
  <si>
    <t>SF/KC</t>
  </si>
  <si>
    <t>SF</t>
  </si>
  <si>
    <t>Which snack commerial will air first (after start of game)?</t>
  </si>
  <si>
    <t>Doritos
M&amp;Ms
(D or M)</t>
  </si>
  <si>
    <t>M</t>
  </si>
  <si>
    <t>D</t>
  </si>
  <si>
    <t xml:space="preserve"> D</t>
  </si>
  <si>
    <t>Christian McCaffrey 89.5 yards rushing</t>
  </si>
  <si>
    <t>Total Points scored O/U 47.5</t>
  </si>
  <si>
    <t>Either QB passing yds 290.5 yds</t>
  </si>
  <si>
    <t xml:space="preserve"> N</t>
  </si>
  <si>
    <t>Nbr interceptions thrown O/U 1.5</t>
  </si>
  <si>
    <t xml:space="preserve"> SF</t>
  </si>
  <si>
    <t>Rob Gronkowski makes the FanDuel Kick of Destiny</t>
  </si>
  <si>
    <t>Combined TD scorer Jersey Numbers O/U 121.5</t>
  </si>
  <si>
    <t>Camera shots to T. Swift O/U 5
(during play - halftime, before, and after game don't count)</t>
  </si>
  <si>
    <t>National Anthem Length.  (under 2:00)</t>
  </si>
  <si>
    <t>Which Beer Brand commerial will air first (after start of game)?</t>
  </si>
  <si>
    <t>Budweiser
Heineken
(B or H)</t>
  </si>
  <si>
    <t>Jersey number of first TD scorer O/U 11.5</t>
  </si>
  <si>
    <t>Total Points scored O/U 50.5</t>
  </si>
  <si>
    <t>Last play of game will be a QB kneel</t>
  </si>
  <si>
    <t>National Anthem Length.  Mickey Guyton (under 1:50)</t>
  </si>
  <si>
    <t>LAR/CIN</t>
  </si>
  <si>
    <t>LAR</t>
  </si>
  <si>
    <t>CIN</t>
  </si>
  <si>
    <t>Jersey nbr player to score first O/U 9.5</t>
  </si>
  <si>
    <t>Will Eminem wear a Detroit Lions jersey</t>
  </si>
  <si>
    <t>TD passes by Matt Stafford O/U 2.5</t>
  </si>
  <si>
    <t>Receiving yds Ja'Marr Chase O/U 80.5</t>
  </si>
  <si>
    <t>Receiving Yards Cooper Kupp O/U 107.5</t>
  </si>
  <si>
    <t>Either QB passing yds 300.5 yds</t>
  </si>
  <si>
    <t>Tom Brady retirement mentioned before halftime</t>
  </si>
  <si>
    <t>Tese/Mark</t>
  </si>
  <si>
    <t>Michelle/CJ</t>
  </si>
  <si>
    <t>National Anthem Length.  Jazmine Sullivan &amp; Eric Church (under 2:00)</t>
  </si>
  <si>
    <t>Score in first 5 minutes 30 seconds</t>
  </si>
  <si>
    <t>Jersey nbr player to score first O/U 17.5</t>
  </si>
  <si>
    <t>Team commit 1st accepted penalty</t>
  </si>
  <si>
    <t>TB/KC</t>
  </si>
  <si>
    <t>TB</t>
  </si>
  <si>
    <t>Total TD's scored O/U 6.5</t>
  </si>
  <si>
    <t>Total pts in first half O/U 27.5</t>
  </si>
  <si>
    <t>Weeknd wearing sunglasses</t>
  </si>
  <si>
    <t>TD passes by Patrick Mahomes O/U 2.5</t>
  </si>
  <si>
    <t>Receiving yds Tyreek Hill O/U 90.5</t>
  </si>
  <si>
    <t>Receiving Yards Rob G O/U 28.5</t>
  </si>
  <si>
    <t>TB players w/ rushing attempt 3.5</t>
  </si>
  <si>
    <t>Tom Brady with 1 rushing yd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</si>
</sst>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2">
    <font>
      <sz val="10.0"/>
      <color rgb="FF000000"/>
      <name val="Arial"/>
    </font>
    <font>
      <name val="Arial"/>
    </font>
    <font/>
    <font>
      <b/>
      <name val="Arial"/>
    </font>
    <font>
      <b/>
      <sz val="19.0"/>
      <name val="Arial"/>
    </font>
    <font>
      <name val="&quot;Open Sans&quot;"/>
    </font>
    <font>
      <b/>
      <color rgb="FF274E13"/>
      <name val="Arial"/>
    </font>
    <font>
      <b/>
      <color rgb="FF38761D"/>
      <name val="Arial"/>
    </font>
    <font>
      <color rgb="FFFF0000"/>
      <name val="Arial"/>
    </font>
    <font>
      <b/>
      <name val="&quot;Open Sans&quot;"/>
    </font>
    <font>
      <color rgb="FF000000"/>
      <name val="Arial"/>
    </font>
    <font>
      <b/>
      <color rgb="FFFF0000"/>
      <name val="Arial"/>
    </font>
    <font>
      <b/>
      <color rgb="FF000000"/>
      <name val="Arial"/>
    </font>
    <font>
      <b/>
      <sz val="10.0"/>
    </font>
    <font>
      <b/>
      <sz val="18.0"/>
    </font>
    <font>
      <sz val="10.0"/>
      <name val="Open Sans"/>
    </font>
    <font>
      <b/>
      <sz val="10.0"/>
      <name val="Arial"/>
    </font>
    <font>
      <b/>
      <sz val="10.0"/>
      <color rgb="FF274E13"/>
      <name val="Arial"/>
    </font>
    <font>
      <b/>
      <sz val="12.0"/>
      <color rgb="FF274E13"/>
      <name val="Arial"/>
    </font>
    <font>
      <b/>
      <color rgb="FF38761D"/>
    </font>
    <font>
      <color rgb="FFFF0000"/>
    </font>
    <font>
      <b/>
      <sz val="10.0"/>
      <color rgb="FF000000"/>
      <name val="Open Sans"/>
    </font>
    <font>
      <b/>
      <color rgb="FF000000"/>
    </font>
    <font>
      <b/>
      <name val="Open Sans"/>
    </font>
    <font>
      <color rgb="FF000000"/>
    </font>
    <font>
      <b/>
      <sz val="9.0"/>
      <color rgb="FF980000"/>
      <name val="Courier New"/>
    </font>
    <font>
      <b/>
      <sz val="9.0"/>
      <color rgb="FF980000"/>
      <name val="Economica"/>
    </font>
    <font>
      <b/>
      <sz val="14.0"/>
    </font>
    <font>
      <b/>
      <sz val="22.0"/>
    </font>
    <font>
      <sz val="7.0"/>
      <name val="Open Sans"/>
    </font>
    <font>
      <b/>
      <sz val="14.0"/>
      <color rgb="FF274E13"/>
      <name val="Arial"/>
    </font>
    <font>
      <b/>
      <sz val="10.0"/>
      <color rgb="FFFF0000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E6B8AF"/>
        <bgColor rgb="FFE6B8AF"/>
      </patternFill>
    </fill>
    <fill>
      <patternFill patternType="solid">
        <fgColor rgb="FFB6D7A8"/>
        <bgColor rgb="FFB6D7A8"/>
      </patternFill>
    </fill>
    <fill>
      <patternFill patternType="solid">
        <fgColor rgb="FFEA9999"/>
        <bgColor rgb="FFEA9999"/>
      </patternFill>
    </fill>
    <fill>
      <patternFill patternType="solid">
        <fgColor rgb="FFB7E1CD"/>
        <bgColor rgb="FFB7E1CD"/>
      </patternFill>
    </fill>
    <fill>
      <patternFill patternType="solid">
        <fgColor rgb="FFCCCCCC"/>
        <bgColor rgb="FFCCCCCC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</fills>
  <borders count="8">
    <border/>
    <border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EFEFEF"/>
      </left>
      <right style="thin">
        <color rgb="FFEFEFEF"/>
      </right>
      <top style="thin">
        <color rgb="FFEFEFEF"/>
      </top>
      <bottom style="thin">
        <color rgb="FFEFEFEF"/>
      </bottom>
    </border>
    <border>
      <left style="thin">
        <color rgb="FFEFEFEF"/>
      </left>
      <top style="thin">
        <color rgb="FFEFEFEF"/>
      </top>
      <bottom style="thin">
        <color rgb="FFEFEFEF"/>
      </bottom>
    </border>
    <border>
      <right style="thin">
        <color rgb="FFEFEFEF"/>
      </right>
      <top style="thin">
        <color rgb="FFEFEFEF"/>
      </top>
      <bottom style="thin">
        <color rgb="FFEFEFEF"/>
      </bottom>
    </border>
  </borders>
  <cellStyleXfs count="1">
    <xf borderId="0" fillId="0" fontId="0" numFmtId="0" applyAlignment="1" applyFont="1"/>
  </cellStyleXfs>
  <cellXfs count="8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vertical="bottom"/>
    </xf>
    <xf borderId="1" fillId="0" fontId="2" numFmtId="0" xfId="0" applyBorder="1" applyFont="1"/>
    <xf borderId="1" fillId="3" fontId="3" numFmtId="0" xfId="0" applyAlignment="1" applyBorder="1" applyFill="1" applyFont="1">
      <alignment horizontal="center" vertical="bottom"/>
    </xf>
    <xf borderId="1" fillId="4" fontId="3" numFmtId="0" xfId="0" applyAlignment="1" applyBorder="1" applyFill="1" applyFont="1">
      <alignment horizontal="center" vertical="bottom"/>
    </xf>
    <xf borderId="1" fillId="5" fontId="4" numFmtId="0" xfId="0" applyAlignment="1" applyBorder="1" applyFill="1" applyFont="1">
      <alignment horizontal="center" vertical="bottom"/>
    </xf>
    <xf borderId="1" fillId="4" fontId="3" numFmtId="0" xfId="0" applyAlignment="1" applyBorder="1" applyFont="1">
      <alignment horizontal="center" readingOrder="0" vertical="bottom"/>
    </xf>
    <xf borderId="0" fillId="0" fontId="1" numFmtId="0" xfId="0" applyAlignment="1" applyFont="1">
      <alignment vertical="bottom"/>
    </xf>
    <xf borderId="2" fillId="6" fontId="5" numFmtId="0" xfId="0" applyAlignment="1" applyBorder="1" applyFill="1" applyFont="1">
      <alignment horizontal="center" shrinkToFit="0" vertical="bottom" wrapText="1"/>
    </xf>
    <xf borderId="3" fillId="6" fontId="3" numFmtId="0" xfId="0" applyAlignment="1" applyBorder="1" applyFont="1">
      <alignment shrinkToFit="0" vertical="bottom" wrapText="1"/>
    </xf>
    <xf borderId="3" fillId="6" fontId="3" numFmtId="0" xfId="0" applyAlignment="1" applyBorder="1" applyFont="1">
      <alignment horizontal="center" vertical="bottom"/>
    </xf>
    <xf borderId="3" fillId="6" fontId="6" numFmtId="0" xfId="0" applyAlignment="1" applyBorder="1" applyFont="1">
      <alignment horizontal="center" vertical="bottom"/>
    </xf>
    <xf borderId="3" fillId="6" fontId="6" numFmtId="3" xfId="0" applyAlignment="1" applyBorder="1" applyFont="1" applyNumberFormat="1">
      <alignment horizontal="center" vertical="bottom"/>
    </xf>
    <xf borderId="2" fillId="7" fontId="3" numFmtId="0" xfId="0" applyAlignment="1" applyBorder="1" applyFill="1" applyFont="1">
      <alignment horizontal="center" shrinkToFit="0" wrapText="1"/>
    </xf>
    <xf borderId="3" fillId="7" fontId="1" numFmtId="0" xfId="0" applyAlignment="1" applyBorder="1" applyFont="1">
      <alignment readingOrder="0" shrinkToFit="0" vertical="bottom" wrapText="1"/>
    </xf>
    <xf borderId="3" fillId="7" fontId="1" numFmtId="0" xfId="0" applyAlignment="1" applyBorder="1" applyFont="1">
      <alignment horizontal="center" vertical="bottom"/>
    </xf>
    <xf borderId="3" fillId="7" fontId="7" numFmtId="0" xfId="0" applyAlignment="1" applyBorder="1" applyFont="1">
      <alignment horizontal="center" readingOrder="0" vertical="bottom"/>
    </xf>
    <xf borderId="3" fillId="7" fontId="8" numFmtId="0" xfId="0" applyAlignment="1" applyBorder="1" applyFont="1">
      <alignment horizontal="center" readingOrder="0" vertical="bottom"/>
    </xf>
    <xf borderId="3" fillId="7" fontId="8" numFmtId="0" xfId="0" applyAlignment="1" applyBorder="1" applyFont="1">
      <alignment readingOrder="0" vertical="bottom"/>
    </xf>
    <xf borderId="0" fillId="7" fontId="1" numFmtId="0" xfId="0" applyAlignment="1" applyFont="1">
      <alignment vertical="bottom"/>
    </xf>
    <xf borderId="2" fillId="8" fontId="1" numFmtId="0" xfId="0" applyAlignment="1" applyBorder="1" applyFill="1" applyFont="1">
      <alignment vertical="bottom"/>
    </xf>
    <xf borderId="3" fillId="8" fontId="1" numFmtId="0" xfId="0" applyAlignment="1" applyBorder="1" applyFont="1">
      <alignment vertical="bottom"/>
    </xf>
    <xf borderId="3" fillId="8" fontId="1" numFmtId="46" xfId="0" applyAlignment="1" applyBorder="1" applyFont="1" applyNumberFormat="1">
      <alignment vertical="bottom"/>
    </xf>
    <xf borderId="3" fillId="8" fontId="7" numFmtId="0" xfId="0" applyAlignment="1" applyBorder="1" applyFont="1">
      <alignment horizontal="center" vertical="bottom"/>
    </xf>
    <xf borderId="3" fillId="6" fontId="3" numFmtId="3" xfId="0" applyAlignment="1" applyBorder="1" applyFont="1" applyNumberFormat="1">
      <alignment horizontal="center" vertical="bottom"/>
    </xf>
    <xf borderId="3" fillId="6" fontId="1" numFmtId="3" xfId="0" applyAlignment="1" applyBorder="1" applyFont="1" applyNumberFormat="1">
      <alignment horizontal="center" vertical="bottom"/>
    </xf>
    <xf borderId="3" fillId="7" fontId="1" numFmtId="0" xfId="0" applyAlignment="1" applyBorder="1" applyFont="1">
      <alignment shrinkToFit="0" vertical="bottom" wrapText="1"/>
    </xf>
    <xf borderId="3" fillId="7" fontId="1" numFmtId="0" xfId="0" applyAlignment="1" applyBorder="1" applyFont="1">
      <alignment horizontal="center" readingOrder="0" vertical="bottom"/>
    </xf>
    <xf borderId="2" fillId="8" fontId="9" numFmtId="0" xfId="0" applyAlignment="1" applyBorder="1" applyFont="1">
      <alignment horizontal="center" shrinkToFit="0" vertical="bottom" wrapText="1"/>
    </xf>
    <xf borderId="3" fillId="8" fontId="1" numFmtId="0" xfId="0" applyAlignment="1" applyBorder="1" applyFont="1">
      <alignment shrinkToFit="0" vertical="bottom" wrapText="1"/>
    </xf>
    <xf borderId="3" fillId="8" fontId="1" numFmtId="0" xfId="0" applyAlignment="1" applyBorder="1" applyFont="1">
      <alignment horizontal="center" vertical="bottom"/>
    </xf>
    <xf borderId="3" fillId="8" fontId="7" numFmtId="0" xfId="0" applyAlignment="1" applyBorder="1" applyFont="1">
      <alignment horizontal="center" readingOrder="0" vertical="bottom"/>
    </xf>
    <xf borderId="3" fillId="8" fontId="8" numFmtId="0" xfId="0" applyAlignment="1" applyBorder="1" applyFont="1">
      <alignment horizontal="center" readingOrder="0" vertical="bottom"/>
    </xf>
    <xf borderId="3" fillId="8" fontId="1" numFmtId="0" xfId="0" applyAlignment="1" applyBorder="1" applyFont="1">
      <alignment readingOrder="0" shrinkToFit="0" vertical="bottom" wrapText="1"/>
    </xf>
    <xf borderId="3" fillId="8" fontId="1" numFmtId="0" xfId="0" applyAlignment="1" applyBorder="1" applyFont="1">
      <alignment horizontal="center" readingOrder="0" vertical="bottom"/>
    </xf>
    <xf borderId="3" fillId="5" fontId="8" numFmtId="0" xfId="0" applyAlignment="1" applyBorder="1" applyFont="1">
      <alignment horizontal="center" readingOrder="0" vertical="bottom"/>
    </xf>
    <xf borderId="3" fillId="7" fontId="8" numFmtId="0" xfId="0" applyAlignment="1" applyBorder="1" applyFont="1">
      <alignment horizontal="center" vertical="bottom"/>
    </xf>
    <xf borderId="3" fillId="7" fontId="8" numFmtId="0" xfId="0" applyAlignment="1" applyBorder="1" applyFont="1">
      <alignment vertical="bottom"/>
    </xf>
    <xf borderId="2" fillId="7" fontId="1" numFmtId="0" xfId="0" applyAlignment="1" applyBorder="1" applyFont="1">
      <alignment horizontal="center" readingOrder="0" shrinkToFit="0" wrapText="1"/>
    </xf>
    <xf borderId="3" fillId="7" fontId="1" numFmtId="0" xfId="0" applyAlignment="1" applyBorder="1" applyFont="1">
      <alignment horizontal="center" readingOrder="0" shrinkToFit="0" vertical="bottom" wrapText="1"/>
    </xf>
    <xf borderId="3" fillId="5" fontId="10" numFmtId="0" xfId="0" applyAlignment="1" applyBorder="1" applyFont="1">
      <alignment horizontal="center" readingOrder="0" vertical="bottom"/>
    </xf>
    <xf borderId="3" fillId="7" fontId="10" numFmtId="0" xfId="0" applyAlignment="1" applyBorder="1" applyFont="1">
      <alignment horizontal="center" readingOrder="0" vertical="bottom"/>
    </xf>
    <xf borderId="3" fillId="7" fontId="11" numFmtId="0" xfId="0" applyAlignment="1" applyBorder="1" applyFont="1">
      <alignment horizontal="center" readingOrder="0" vertical="bottom"/>
    </xf>
    <xf borderId="3" fillId="5" fontId="12" numFmtId="0" xfId="0" applyAlignment="1" applyBorder="1" applyFont="1">
      <alignment horizontal="center" readingOrder="0" vertical="bottom"/>
    </xf>
    <xf borderId="1" fillId="3" fontId="4" numFmtId="0" xfId="0" applyAlignment="1" applyBorder="1" applyFont="1">
      <alignment horizontal="center" vertical="bottom"/>
    </xf>
    <xf borderId="3" fillId="7" fontId="11" numFmtId="0" xfId="0" applyAlignment="1" applyBorder="1" applyFont="1">
      <alignment horizontal="center" vertical="bottom"/>
    </xf>
    <xf borderId="3" fillId="8" fontId="8" numFmtId="0" xfId="0" applyAlignment="1" applyBorder="1" applyFont="1">
      <alignment horizontal="center" vertical="bottom"/>
    </xf>
    <xf borderId="3" fillId="8" fontId="11" numFmtId="0" xfId="0" applyAlignment="1" applyBorder="1" applyFont="1">
      <alignment horizontal="center" vertical="bottom"/>
    </xf>
    <xf borderId="3" fillId="3" fontId="7" numFmtId="0" xfId="0" applyAlignment="1" applyBorder="1" applyFont="1">
      <alignment horizontal="center" readingOrder="0" vertical="bottom"/>
    </xf>
    <xf borderId="0" fillId="2" fontId="13" numFmtId="0" xfId="0" applyAlignment="1" applyFont="1">
      <alignment horizontal="center" readingOrder="0"/>
    </xf>
    <xf borderId="0" fillId="3" fontId="13" numFmtId="0" xfId="0" applyAlignment="1" applyFont="1">
      <alignment horizontal="center" readingOrder="0"/>
    </xf>
    <xf borderId="0" fillId="3" fontId="14" numFmtId="0" xfId="0" applyAlignment="1" applyFont="1">
      <alignment horizontal="center" readingOrder="0"/>
    </xf>
    <xf borderId="4" fillId="6" fontId="15" numFmtId="0" xfId="0" applyAlignment="1" applyBorder="1" applyFont="1">
      <alignment horizontal="center" readingOrder="0" shrinkToFit="0" wrapText="1"/>
    </xf>
    <xf borderId="4" fillId="6" fontId="16" numFmtId="0" xfId="0" applyAlignment="1" applyBorder="1" applyFont="1">
      <alignment readingOrder="0" shrinkToFit="0" wrapText="1"/>
    </xf>
    <xf borderId="4" fillId="6" fontId="16" numFmtId="0" xfId="0" applyAlignment="1" applyBorder="1" applyFont="1">
      <alignment horizontal="center" readingOrder="0"/>
    </xf>
    <xf borderId="4" fillId="6" fontId="17" numFmtId="0" xfId="0" applyAlignment="1" applyBorder="1" applyFont="1">
      <alignment horizontal="center" readingOrder="0"/>
    </xf>
    <xf borderId="4" fillId="6" fontId="17" numFmtId="3" xfId="0" applyAlignment="1" applyBorder="1" applyFont="1" applyNumberFormat="1">
      <alignment horizontal="center" readingOrder="0"/>
    </xf>
    <xf borderId="4" fillId="8" fontId="18" numFmtId="3" xfId="0" applyAlignment="1" applyBorder="1" applyFont="1" applyNumberFormat="1">
      <alignment horizontal="center" readingOrder="0"/>
    </xf>
    <xf borderId="4" fillId="8" fontId="16" numFmtId="0" xfId="0" applyAlignment="1" applyBorder="1" applyFont="1">
      <alignment horizontal="center" readingOrder="0" shrinkToFit="0" vertical="center" wrapText="1"/>
    </xf>
    <xf borderId="4" fillId="8" fontId="2" numFmtId="0" xfId="0" applyAlignment="1" applyBorder="1" applyFont="1">
      <alignment readingOrder="0" shrinkToFit="0" wrapText="1"/>
    </xf>
    <xf borderId="4" fillId="8" fontId="1" numFmtId="0" xfId="0" applyAlignment="1" applyBorder="1" applyFont="1">
      <alignment horizontal="center" readingOrder="0"/>
    </xf>
    <xf borderId="4" fillId="8" fontId="19" numFmtId="0" xfId="0" applyAlignment="1" applyBorder="1" applyFont="1">
      <alignment horizontal="center" readingOrder="0"/>
    </xf>
    <xf borderId="4" fillId="8" fontId="20" numFmtId="0" xfId="0" applyAlignment="1" applyBorder="1" applyFont="1">
      <alignment horizontal="center" readingOrder="0"/>
    </xf>
    <xf borderId="4" fillId="8" fontId="21" numFmtId="0" xfId="0" applyAlignment="1" applyBorder="1" applyFont="1">
      <alignment horizontal="center" readingOrder="0" shrinkToFit="0" wrapText="1"/>
    </xf>
    <xf borderId="4" fillId="8" fontId="2" numFmtId="46" xfId="0" applyAlignment="1" applyBorder="1" applyFont="1" applyNumberFormat="1">
      <alignment readingOrder="0"/>
    </xf>
    <xf borderId="4" fillId="6" fontId="22" numFmtId="3" xfId="0" applyAlignment="1" applyBorder="1" applyFont="1" applyNumberFormat="1">
      <alignment horizontal="center" readingOrder="0"/>
    </xf>
    <xf borderId="4" fillId="8" fontId="23" numFmtId="0" xfId="0" applyAlignment="1" applyBorder="1" applyFont="1">
      <alignment horizontal="center" readingOrder="0" shrinkToFit="0" wrapText="1"/>
    </xf>
    <xf borderId="4" fillId="8" fontId="2" numFmtId="0" xfId="0" applyAlignment="1" applyBorder="1" applyFont="1">
      <alignment horizontal="center" readingOrder="0"/>
    </xf>
    <xf borderId="4" fillId="6" fontId="24" numFmtId="3" xfId="0" applyAlignment="1" applyBorder="1" applyFont="1" applyNumberFormat="1">
      <alignment horizontal="center" readingOrder="0"/>
    </xf>
    <xf borderId="0" fillId="0" fontId="23" numFmtId="0" xfId="0" applyAlignment="1" applyFont="1">
      <alignment horizontal="center" shrinkToFit="0" wrapText="1"/>
    </xf>
    <xf borderId="5" fillId="9" fontId="2" numFmtId="0" xfId="0" applyBorder="1" applyFill="1" applyFont="1"/>
    <xf borderId="6" fillId="9" fontId="25" numFmtId="164" xfId="0" applyAlignment="1" applyBorder="1" applyFont="1" applyNumberFormat="1">
      <alignment horizontal="left" readingOrder="0" shrinkToFit="0" vertical="center" wrapText="1"/>
    </xf>
    <xf borderId="7" fillId="0" fontId="2" numFmtId="0" xfId="0" applyBorder="1" applyFont="1"/>
    <xf borderId="0" fillId="9" fontId="26" numFmtId="0" xfId="0" applyAlignment="1" applyFont="1">
      <alignment horizontal="center" readingOrder="0" shrinkToFit="0" vertical="center" wrapText="1"/>
    </xf>
    <xf borderId="0" fillId="2" fontId="27" numFmtId="0" xfId="0" applyAlignment="1" applyFont="1">
      <alignment horizontal="center" readingOrder="0"/>
    </xf>
    <xf borderId="0" fillId="3" fontId="28" numFmtId="0" xfId="0" applyAlignment="1" applyFont="1">
      <alignment horizontal="center" readingOrder="0"/>
    </xf>
    <xf borderId="4" fillId="6" fontId="29" numFmtId="0" xfId="0" applyAlignment="1" applyBorder="1" applyFont="1">
      <alignment horizontal="center" readingOrder="0" shrinkToFit="0" wrapText="1"/>
    </xf>
    <xf borderId="4" fillId="6" fontId="30" numFmtId="0" xfId="0" applyAlignment="1" applyBorder="1" applyFont="1">
      <alignment horizontal="center" readingOrder="0"/>
    </xf>
    <xf borderId="4" fillId="6" fontId="30" numFmtId="3" xfId="0" applyAlignment="1" applyBorder="1" applyFont="1" applyNumberFormat="1">
      <alignment horizontal="center" readingOrder="0"/>
    </xf>
    <xf borderId="0" fillId="6" fontId="31" numFmtId="0" xfId="0" applyAlignment="1" applyFont="1">
      <alignment horizontal="center" readingOrder="0"/>
    </xf>
    <xf borderId="0" fillId="8" fontId="20" numFmtId="0" xfId="0" applyAlignment="1" applyFont="1">
      <alignment horizontal="center" readingOrder="0"/>
    </xf>
    <xf borderId="4" fillId="8" fontId="19" numFmtId="46" xfId="0" applyAlignment="1" applyBorder="1" applyFont="1" applyNumberFormat="1">
      <alignment horizontal="center" readingOrder="0"/>
    </xf>
    <xf borderId="0" fillId="8" fontId="20" numFmtId="3" xfId="0" applyAlignment="1" applyFont="1" applyNumberFormat="1">
      <alignment horizontal="center" readingOrder="0"/>
    </xf>
  </cellXfs>
  <cellStyles count="1">
    <cellStyle xfId="0" name="Normal" builtinId="0"/>
  </cellStyles>
  <dxfs count="7">
    <dxf>
      <font>
        <color rgb="FF666666"/>
      </font>
      <fill>
        <patternFill patternType="solid">
          <fgColor rgb="FFEFEFEF"/>
          <bgColor rgb="FFEFEFEF"/>
        </patternFill>
      </fill>
      <border/>
    </dxf>
    <dxf>
      <font/>
      <fill>
        <patternFill patternType="none"/>
      </fill>
      <border/>
    </dxf>
    <dxf>
      <font>
        <b/>
        <color rgb="FF274E13"/>
      </font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>
        <b/>
        <color/>
      </font>
      <fill>
        <patternFill patternType="solid">
          <fgColor rgb="FFB7E1CD"/>
          <bgColor rgb="FFB7E1CD"/>
        </patternFill>
      </fill>
      <border/>
    </dxf>
    <dxf>
      <font>
        <b/>
      </font>
      <fill>
        <patternFill patternType="solid">
          <fgColor rgb="FFB7E1CD"/>
          <bgColor rgb="FFB7E1CD"/>
        </patternFill>
      </fill>
      <border/>
    </dxf>
    <dxf>
      <font>
        <b/>
        <color rgb="FF000000"/>
      </font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Jim Welch" id="{d1ff17e4-cc4b-42f0-aa4f-a644bf36240e}" providerId="google-sheets"/>
</x18tc:personList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B45" dT="2024-02-09T00:04:13.00" personId="{d1ff17e4-cc4b-42f0-aa4f-a644bf36240e}" id="{b8f7b62f-f499-4338-ac21-cf55d9b5eb1a}" done="0">
    <x18tc:text xml:space="preserve">Wager will be voided if T. Swift doesn't make it to the game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2.xml"/><Relationship Id="rId5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2.0" topLeftCell="E3" activePane="bottomRight" state="frozen"/>
      <selection activeCell="E1" sqref="E1" pane="topRight"/>
      <selection activeCell="A3" sqref="A3" pane="bottomLeft"/>
      <selection activeCell="E3" sqref="E3" pane="bottomRight"/>
    </sheetView>
  </sheetViews>
  <sheetFormatPr customHeight="1" defaultColWidth="12.63" defaultRowHeight="15.75"/>
  <cols>
    <col customWidth="1" min="3" max="3" width="15.75"/>
  </cols>
  <sheetData>
    <row r="1">
      <c r="A1" s="1"/>
      <c r="B1" s="2"/>
      <c r="C1" s="2"/>
      <c r="D1" s="2"/>
      <c r="E1" s="3" t="s">
        <v>0</v>
      </c>
      <c r="F1" s="4" t="s">
        <v>1</v>
      </c>
      <c r="G1" s="4" t="s">
        <v>2</v>
      </c>
      <c r="H1" s="4" t="s">
        <v>3</v>
      </c>
      <c r="I1" s="5" t="s">
        <v>4</v>
      </c>
      <c r="J1" s="4" t="s">
        <v>5</v>
      </c>
      <c r="K1" s="4" t="s">
        <v>6</v>
      </c>
      <c r="L1" s="4" t="s">
        <v>7</v>
      </c>
      <c r="M1" s="4" t="s">
        <v>8</v>
      </c>
      <c r="N1" s="4" t="s">
        <v>9</v>
      </c>
      <c r="O1" s="4" t="s">
        <v>10</v>
      </c>
      <c r="P1" s="4" t="s">
        <v>11</v>
      </c>
      <c r="Q1" s="4" t="s">
        <v>12</v>
      </c>
      <c r="R1" s="6" t="s">
        <v>13</v>
      </c>
      <c r="S1" s="4" t="s">
        <v>14</v>
      </c>
      <c r="T1" s="7"/>
      <c r="U1" s="7"/>
      <c r="V1" s="7"/>
      <c r="W1" s="7"/>
      <c r="X1" s="7"/>
      <c r="Y1" s="7"/>
      <c r="Z1" s="7"/>
      <c r="AA1" s="7"/>
      <c r="AB1" s="7"/>
      <c r="AC1" s="7"/>
    </row>
    <row r="2">
      <c r="A2" s="8" t="s">
        <v>15</v>
      </c>
      <c r="B2" s="9" t="s">
        <v>15</v>
      </c>
      <c r="C2" s="10" t="s">
        <v>15</v>
      </c>
      <c r="D2" s="11" t="s">
        <v>16</v>
      </c>
      <c r="E2" s="12">
        <f t="shared" ref="E2:S2" si="1">E4+E6+E8+E10+E12+E14+E16+E18+E20+E22+E24+E26+E28+E30+E32+E34+E36+E38+E40+E42+E44+E46</f>
        <v>12</v>
      </c>
      <c r="F2" s="12">
        <f t="shared" si="1"/>
        <v>12</v>
      </c>
      <c r="G2" s="12">
        <f t="shared" si="1"/>
        <v>10</v>
      </c>
      <c r="H2" s="12">
        <f t="shared" si="1"/>
        <v>11</v>
      </c>
      <c r="I2" s="12">
        <f t="shared" si="1"/>
        <v>13</v>
      </c>
      <c r="J2" s="12">
        <f t="shared" si="1"/>
        <v>8</v>
      </c>
      <c r="K2" s="12">
        <f t="shared" si="1"/>
        <v>11</v>
      </c>
      <c r="L2" s="12">
        <f t="shared" si="1"/>
        <v>11</v>
      </c>
      <c r="M2" s="12">
        <f t="shared" si="1"/>
        <v>8</v>
      </c>
      <c r="N2" s="12">
        <f t="shared" si="1"/>
        <v>12</v>
      </c>
      <c r="O2" s="12">
        <f t="shared" si="1"/>
        <v>6</v>
      </c>
      <c r="P2" s="12">
        <f t="shared" si="1"/>
        <v>9</v>
      </c>
      <c r="Q2" s="12">
        <f t="shared" si="1"/>
        <v>7</v>
      </c>
      <c r="R2" s="12">
        <f t="shared" si="1"/>
        <v>10</v>
      </c>
      <c r="S2" s="12">
        <f t="shared" si="1"/>
        <v>9</v>
      </c>
      <c r="T2" s="7"/>
      <c r="U2" s="7"/>
      <c r="V2" s="7"/>
      <c r="W2" s="7"/>
      <c r="X2" s="7"/>
      <c r="Y2" s="7"/>
      <c r="Z2" s="7"/>
      <c r="AA2" s="7"/>
      <c r="AB2" s="7"/>
      <c r="AC2" s="7"/>
    </row>
    <row r="3">
      <c r="A3" s="13">
        <v>1.0</v>
      </c>
      <c r="B3" s="14" t="s">
        <v>17</v>
      </c>
      <c r="C3" s="15" t="s">
        <v>18</v>
      </c>
      <c r="D3" s="16" t="s">
        <v>19</v>
      </c>
      <c r="E3" s="17" t="s">
        <v>19</v>
      </c>
      <c r="F3" s="17" t="s">
        <v>19</v>
      </c>
      <c r="G3" s="17" t="s">
        <v>19</v>
      </c>
      <c r="H3" s="17" t="s">
        <v>19</v>
      </c>
      <c r="I3" s="17" t="s">
        <v>19</v>
      </c>
      <c r="J3" s="17" t="s">
        <v>20</v>
      </c>
      <c r="K3" s="17" t="s">
        <v>19</v>
      </c>
      <c r="L3" s="17" t="s">
        <v>19</v>
      </c>
      <c r="M3" s="17" t="s">
        <v>21</v>
      </c>
      <c r="N3" s="18" t="s">
        <v>20</v>
      </c>
      <c r="O3" s="17" t="s">
        <v>19</v>
      </c>
      <c r="P3" s="17" t="s">
        <v>20</v>
      </c>
      <c r="Q3" s="17" t="s">
        <v>20</v>
      </c>
      <c r="R3" s="17" t="s">
        <v>19</v>
      </c>
      <c r="S3" s="17" t="s">
        <v>20</v>
      </c>
      <c r="T3" s="19"/>
      <c r="U3" s="19"/>
      <c r="V3" s="19"/>
      <c r="W3" s="19"/>
      <c r="X3" s="19"/>
      <c r="Y3" s="19"/>
      <c r="Z3" s="19"/>
      <c r="AA3" s="19"/>
      <c r="AB3" s="19"/>
      <c r="AC3" s="19"/>
    </row>
    <row r="4" hidden="1">
      <c r="A4" s="20"/>
      <c r="B4" s="21"/>
      <c r="C4" s="22"/>
      <c r="D4" s="23" t="s">
        <v>15</v>
      </c>
      <c r="E4" s="24">
        <f t="shared" ref="E4:S4" si="2">if(E3=$D$3,1,0)</f>
        <v>1</v>
      </c>
      <c r="F4" s="24">
        <f t="shared" si="2"/>
        <v>1</v>
      </c>
      <c r="G4" s="24">
        <f t="shared" si="2"/>
        <v>1</v>
      </c>
      <c r="H4" s="24">
        <f t="shared" si="2"/>
        <v>1</v>
      </c>
      <c r="I4" s="24">
        <f t="shared" si="2"/>
        <v>1</v>
      </c>
      <c r="J4" s="25">
        <f t="shared" si="2"/>
        <v>0</v>
      </c>
      <c r="K4" s="24">
        <f t="shared" si="2"/>
        <v>1</v>
      </c>
      <c r="L4" s="24">
        <f t="shared" si="2"/>
        <v>1</v>
      </c>
      <c r="M4" s="24">
        <f t="shared" si="2"/>
        <v>0</v>
      </c>
      <c r="N4" s="24">
        <f t="shared" si="2"/>
        <v>0</v>
      </c>
      <c r="O4" s="24">
        <f t="shared" si="2"/>
        <v>1</v>
      </c>
      <c r="P4" s="24">
        <f t="shared" si="2"/>
        <v>0</v>
      </c>
      <c r="Q4" s="24">
        <f t="shared" si="2"/>
        <v>0</v>
      </c>
      <c r="R4" s="24">
        <f t="shared" si="2"/>
        <v>1</v>
      </c>
      <c r="S4" s="24">
        <f t="shared" si="2"/>
        <v>0</v>
      </c>
      <c r="T4" s="7"/>
      <c r="U4" s="7"/>
      <c r="V4" s="7"/>
      <c r="W4" s="7"/>
      <c r="X4" s="7"/>
      <c r="Y4" s="7"/>
      <c r="Z4" s="7"/>
      <c r="AA4" s="7"/>
      <c r="AB4" s="7"/>
      <c r="AC4" s="7"/>
    </row>
    <row r="5">
      <c r="A5" s="13">
        <v>2.0</v>
      </c>
      <c r="B5" s="26" t="s">
        <v>22</v>
      </c>
      <c r="C5" s="15" t="s">
        <v>23</v>
      </c>
      <c r="D5" s="16" t="s">
        <v>24</v>
      </c>
      <c r="E5" s="17" t="s">
        <v>25</v>
      </c>
      <c r="F5" s="17" t="s">
        <v>24</v>
      </c>
      <c r="G5" s="17" t="s">
        <v>25</v>
      </c>
      <c r="H5" s="17" t="s">
        <v>24</v>
      </c>
      <c r="I5" s="17" t="s">
        <v>24</v>
      </c>
      <c r="J5" s="17" t="s">
        <v>25</v>
      </c>
      <c r="K5" s="17" t="s">
        <v>24</v>
      </c>
      <c r="L5" s="17" t="s">
        <v>24</v>
      </c>
      <c r="M5" s="17" t="s">
        <v>26</v>
      </c>
      <c r="N5" s="18" t="s">
        <v>24</v>
      </c>
      <c r="O5" s="17" t="s">
        <v>25</v>
      </c>
      <c r="P5" s="17" t="s">
        <v>24</v>
      </c>
      <c r="Q5" s="17" t="s">
        <v>25</v>
      </c>
      <c r="R5" s="17" t="s">
        <v>24</v>
      </c>
      <c r="S5" s="17" t="s">
        <v>25</v>
      </c>
      <c r="T5" s="19"/>
      <c r="U5" s="19"/>
      <c r="V5" s="19"/>
      <c r="W5" s="19"/>
      <c r="X5" s="19"/>
      <c r="Y5" s="19"/>
      <c r="Z5" s="19"/>
      <c r="AA5" s="19"/>
      <c r="AB5" s="19"/>
      <c r="AC5" s="19"/>
    </row>
    <row r="6" hidden="1">
      <c r="A6" s="20"/>
      <c r="B6" s="21"/>
      <c r="C6" s="21"/>
      <c r="D6" s="23" t="s">
        <v>15</v>
      </c>
      <c r="E6" s="24">
        <f t="shared" ref="E6:S6" si="3">if(E5=$D$5,1,0)</f>
        <v>0</v>
      </c>
      <c r="F6" s="24">
        <f t="shared" si="3"/>
        <v>1</v>
      </c>
      <c r="G6" s="24">
        <f t="shared" si="3"/>
        <v>0</v>
      </c>
      <c r="H6" s="24">
        <f t="shared" si="3"/>
        <v>1</v>
      </c>
      <c r="I6" s="24">
        <f t="shared" si="3"/>
        <v>1</v>
      </c>
      <c r="J6" s="25">
        <f t="shared" si="3"/>
        <v>0</v>
      </c>
      <c r="K6" s="24">
        <f t="shared" si="3"/>
        <v>1</v>
      </c>
      <c r="L6" s="24">
        <f t="shared" si="3"/>
        <v>1</v>
      </c>
      <c r="M6" s="24">
        <f t="shared" si="3"/>
        <v>0</v>
      </c>
      <c r="N6" s="24">
        <f t="shared" si="3"/>
        <v>1</v>
      </c>
      <c r="O6" s="24">
        <f t="shared" si="3"/>
        <v>0</v>
      </c>
      <c r="P6" s="24">
        <f t="shared" si="3"/>
        <v>1</v>
      </c>
      <c r="Q6" s="24">
        <f t="shared" si="3"/>
        <v>0</v>
      </c>
      <c r="R6" s="24">
        <f t="shared" si="3"/>
        <v>1</v>
      </c>
      <c r="S6" s="24">
        <f t="shared" si="3"/>
        <v>0</v>
      </c>
      <c r="T6" s="7"/>
      <c r="U6" s="7"/>
      <c r="V6" s="7"/>
      <c r="W6" s="7"/>
      <c r="X6" s="7"/>
      <c r="Y6" s="7"/>
      <c r="Z6" s="7"/>
      <c r="AA6" s="7"/>
      <c r="AB6" s="7"/>
      <c r="AC6" s="7"/>
    </row>
    <row r="7">
      <c r="A7" s="13">
        <v>3.0</v>
      </c>
      <c r="B7" s="26" t="s">
        <v>27</v>
      </c>
      <c r="C7" s="27" t="s">
        <v>28</v>
      </c>
      <c r="D7" s="16" t="s">
        <v>29</v>
      </c>
      <c r="E7" s="17" t="s">
        <v>30</v>
      </c>
      <c r="F7" s="17" t="s">
        <v>29</v>
      </c>
      <c r="G7" s="17" t="s">
        <v>30</v>
      </c>
      <c r="H7" s="17" t="s">
        <v>29</v>
      </c>
      <c r="I7" s="17" t="s">
        <v>30</v>
      </c>
      <c r="J7" s="17" t="s">
        <v>29</v>
      </c>
      <c r="K7" s="17" t="s">
        <v>30</v>
      </c>
      <c r="L7" s="17" t="s">
        <v>30</v>
      </c>
      <c r="M7" s="17" t="s">
        <v>31</v>
      </c>
      <c r="N7" s="18" t="s">
        <v>29</v>
      </c>
      <c r="O7" s="17" t="s">
        <v>29</v>
      </c>
      <c r="P7" s="17" t="s">
        <v>30</v>
      </c>
      <c r="Q7" s="17" t="s">
        <v>30</v>
      </c>
      <c r="R7" s="17" t="s">
        <v>29</v>
      </c>
      <c r="S7" s="17" t="s">
        <v>30</v>
      </c>
      <c r="T7" s="19"/>
      <c r="U7" s="19"/>
      <c r="V7" s="19"/>
      <c r="W7" s="19"/>
      <c r="X7" s="19"/>
      <c r="Y7" s="19"/>
      <c r="Z7" s="19"/>
      <c r="AA7" s="19"/>
      <c r="AB7" s="19"/>
      <c r="AC7" s="19"/>
    </row>
    <row r="8" hidden="1">
      <c r="A8" s="20"/>
      <c r="B8" s="21"/>
      <c r="C8" s="21"/>
      <c r="D8" s="23" t="s">
        <v>15</v>
      </c>
      <c r="E8" s="24">
        <f t="shared" ref="E8:S8" si="4">if(E7=$D$7,1,0)</f>
        <v>0</v>
      </c>
      <c r="F8" s="24">
        <f t="shared" si="4"/>
        <v>1</v>
      </c>
      <c r="G8" s="24">
        <f t="shared" si="4"/>
        <v>0</v>
      </c>
      <c r="H8" s="24">
        <f t="shared" si="4"/>
        <v>1</v>
      </c>
      <c r="I8" s="24">
        <f t="shared" si="4"/>
        <v>0</v>
      </c>
      <c r="J8" s="25">
        <f t="shared" si="4"/>
        <v>1</v>
      </c>
      <c r="K8" s="24">
        <f t="shared" si="4"/>
        <v>0</v>
      </c>
      <c r="L8" s="24">
        <f t="shared" si="4"/>
        <v>0</v>
      </c>
      <c r="M8" s="24">
        <f t="shared" si="4"/>
        <v>0</v>
      </c>
      <c r="N8" s="24">
        <f t="shared" si="4"/>
        <v>1</v>
      </c>
      <c r="O8" s="24">
        <f t="shared" si="4"/>
        <v>1</v>
      </c>
      <c r="P8" s="24">
        <f t="shared" si="4"/>
        <v>0</v>
      </c>
      <c r="Q8" s="24">
        <f t="shared" si="4"/>
        <v>0</v>
      </c>
      <c r="R8" s="24">
        <f t="shared" si="4"/>
        <v>1</v>
      </c>
      <c r="S8" s="24">
        <f t="shared" si="4"/>
        <v>0</v>
      </c>
      <c r="T8" s="7"/>
      <c r="U8" s="7"/>
      <c r="V8" s="7"/>
      <c r="W8" s="7"/>
      <c r="X8" s="7"/>
      <c r="Y8" s="7"/>
      <c r="Z8" s="7"/>
      <c r="AA8" s="7"/>
      <c r="AB8" s="7"/>
      <c r="AC8" s="7"/>
    </row>
    <row r="9">
      <c r="A9" s="28">
        <v>4.0</v>
      </c>
      <c r="B9" s="29" t="s">
        <v>32</v>
      </c>
      <c r="C9" s="30" t="s">
        <v>33</v>
      </c>
      <c r="D9" s="31" t="s">
        <v>34</v>
      </c>
      <c r="E9" s="32" t="s">
        <v>34</v>
      </c>
      <c r="F9" s="32" t="s">
        <v>35</v>
      </c>
      <c r="G9" s="32" t="s">
        <v>35</v>
      </c>
      <c r="H9" s="32" t="s">
        <v>35</v>
      </c>
      <c r="I9" s="32" t="s">
        <v>34</v>
      </c>
      <c r="J9" s="32" t="s">
        <v>35</v>
      </c>
      <c r="K9" s="32" t="s">
        <v>35</v>
      </c>
      <c r="L9" s="32" t="s">
        <v>35</v>
      </c>
      <c r="M9" s="32" t="s">
        <v>36</v>
      </c>
      <c r="N9" s="32" t="s">
        <v>35</v>
      </c>
      <c r="O9" s="32" t="s">
        <v>35</v>
      </c>
      <c r="P9" s="32" t="s">
        <v>35</v>
      </c>
      <c r="Q9" s="32" t="s">
        <v>34</v>
      </c>
      <c r="R9" s="32" t="s">
        <v>35</v>
      </c>
      <c r="S9" s="32" t="s">
        <v>34</v>
      </c>
      <c r="T9" s="7"/>
      <c r="U9" s="7"/>
      <c r="V9" s="7"/>
      <c r="W9" s="7"/>
      <c r="X9" s="7"/>
      <c r="Y9" s="7"/>
      <c r="Z9" s="7"/>
      <c r="AA9" s="7"/>
      <c r="AB9" s="7"/>
      <c r="AC9" s="7"/>
    </row>
    <row r="10" hidden="1">
      <c r="A10" s="20"/>
      <c r="B10" s="21"/>
      <c r="C10" s="21"/>
      <c r="D10" s="23" t="s">
        <v>15</v>
      </c>
      <c r="E10" s="24">
        <f t="shared" ref="E10:S10" si="5">if(E9=$D9,1,0)</f>
        <v>1</v>
      </c>
      <c r="F10" s="24">
        <f t="shared" si="5"/>
        <v>0</v>
      </c>
      <c r="G10" s="24">
        <f t="shared" si="5"/>
        <v>0</v>
      </c>
      <c r="H10" s="24">
        <f t="shared" si="5"/>
        <v>0</v>
      </c>
      <c r="I10" s="24">
        <f t="shared" si="5"/>
        <v>1</v>
      </c>
      <c r="J10" s="25">
        <f t="shared" si="5"/>
        <v>0</v>
      </c>
      <c r="K10" s="24">
        <f t="shared" si="5"/>
        <v>0</v>
      </c>
      <c r="L10" s="24">
        <f t="shared" si="5"/>
        <v>0</v>
      </c>
      <c r="M10" s="24">
        <f t="shared" si="5"/>
        <v>0</v>
      </c>
      <c r="N10" s="24">
        <f t="shared" si="5"/>
        <v>0</v>
      </c>
      <c r="O10" s="24">
        <f t="shared" si="5"/>
        <v>0</v>
      </c>
      <c r="P10" s="24">
        <f t="shared" si="5"/>
        <v>0</v>
      </c>
      <c r="Q10" s="24">
        <f t="shared" si="5"/>
        <v>1</v>
      </c>
      <c r="R10" s="24">
        <f t="shared" si="5"/>
        <v>0</v>
      </c>
      <c r="S10" s="24">
        <f t="shared" si="5"/>
        <v>1</v>
      </c>
      <c r="T10" s="7"/>
      <c r="U10" s="7"/>
      <c r="V10" s="7"/>
      <c r="W10" s="7"/>
      <c r="X10" s="7"/>
      <c r="Y10" s="7"/>
      <c r="Z10" s="7"/>
      <c r="AA10" s="7"/>
      <c r="AB10" s="7"/>
      <c r="AC10" s="7"/>
    </row>
    <row r="11">
      <c r="A11" s="13">
        <v>5.0</v>
      </c>
      <c r="B11" s="26" t="s">
        <v>37</v>
      </c>
      <c r="C11" s="27" t="s">
        <v>28</v>
      </c>
      <c r="D11" s="16" t="s">
        <v>29</v>
      </c>
      <c r="E11" s="17" t="s">
        <v>29</v>
      </c>
      <c r="F11" s="17" t="s">
        <v>30</v>
      </c>
      <c r="G11" s="17" t="s">
        <v>29</v>
      </c>
      <c r="H11" s="17" t="s">
        <v>30</v>
      </c>
      <c r="I11" s="17" t="s">
        <v>30</v>
      </c>
      <c r="J11" s="17" t="s">
        <v>30</v>
      </c>
      <c r="K11" s="17" t="s">
        <v>30</v>
      </c>
      <c r="L11" s="17" t="s">
        <v>30</v>
      </c>
      <c r="M11" s="17" t="s">
        <v>31</v>
      </c>
      <c r="N11" s="18" t="s">
        <v>30</v>
      </c>
      <c r="O11" s="17" t="s">
        <v>30</v>
      </c>
      <c r="P11" s="17" t="s">
        <v>30</v>
      </c>
      <c r="Q11" s="17" t="s">
        <v>29</v>
      </c>
      <c r="R11" s="17" t="s">
        <v>29</v>
      </c>
      <c r="S11" s="17" t="s">
        <v>30</v>
      </c>
      <c r="T11" s="19"/>
      <c r="U11" s="19"/>
      <c r="V11" s="19"/>
      <c r="W11" s="19"/>
      <c r="X11" s="19"/>
      <c r="Y11" s="19"/>
      <c r="Z11" s="19"/>
      <c r="AA11" s="19"/>
      <c r="AB11" s="19"/>
      <c r="AC11" s="19"/>
    </row>
    <row r="12" hidden="1">
      <c r="A12" s="20"/>
      <c r="B12" s="21"/>
      <c r="C12" s="21"/>
      <c r="D12" s="23" t="s">
        <v>15</v>
      </c>
      <c r="E12" s="24">
        <f t="shared" ref="E12:S12" si="6">if(E11=$D11,1,0)</f>
        <v>1</v>
      </c>
      <c r="F12" s="24">
        <f t="shared" si="6"/>
        <v>0</v>
      </c>
      <c r="G12" s="24">
        <f t="shared" si="6"/>
        <v>1</v>
      </c>
      <c r="H12" s="24">
        <f t="shared" si="6"/>
        <v>0</v>
      </c>
      <c r="I12" s="24">
        <f t="shared" si="6"/>
        <v>0</v>
      </c>
      <c r="J12" s="25">
        <f t="shared" si="6"/>
        <v>0</v>
      </c>
      <c r="K12" s="24">
        <f t="shared" si="6"/>
        <v>0</v>
      </c>
      <c r="L12" s="24">
        <f t="shared" si="6"/>
        <v>0</v>
      </c>
      <c r="M12" s="24">
        <f t="shared" si="6"/>
        <v>0</v>
      </c>
      <c r="N12" s="24">
        <f t="shared" si="6"/>
        <v>0</v>
      </c>
      <c r="O12" s="24">
        <f t="shared" si="6"/>
        <v>0</v>
      </c>
      <c r="P12" s="24">
        <f t="shared" si="6"/>
        <v>0</v>
      </c>
      <c r="Q12" s="24">
        <f t="shared" si="6"/>
        <v>1</v>
      </c>
      <c r="R12" s="24">
        <f t="shared" si="6"/>
        <v>1</v>
      </c>
      <c r="S12" s="24">
        <f t="shared" si="6"/>
        <v>0</v>
      </c>
      <c r="T12" s="7"/>
      <c r="U12" s="7"/>
      <c r="V12" s="7"/>
      <c r="W12" s="7"/>
      <c r="X12" s="7"/>
      <c r="Y12" s="7"/>
      <c r="Z12" s="7"/>
      <c r="AA12" s="7"/>
      <c r="AB12" s="7"/>
      <c r="AC12" s="7"/>
    </row>
    <row r="13">
      <c r="A13" s="13">
        <v>6.0</v>
      </c>
      <c r="B13" s="26" t="s">
        <v>38</v>
      </c>
      <c r="C13" s="27" t="s">
        <v>28</v>
      </c>
      <c r="D13" s="16" t="s">
        <v>29</v>
      </c>
      <c r="E13" s="17" t="s">
        <v>29</v>
      </c>
      <c r="F13" s="17" t="s">
        <v>29</v>
      </c>
      <c r="G13" s="17" t="s">
        <v>29</v>
      </c>
      <c r="H13" s="17" t="s">
        <v>30</v>
      </c>
      <c r="I13" s="17" t="s">
        <v>29</v>
      </c>
      <c r="J13" s="17" t="s">
        <v>29</v>
      </c>
      <c r="K13" s="17" t="s">
        <v>29</v>
      </c>
      <c r="L13" s="17" t="s">
        <v>29</v>
      </c>
      <c r="M13" s="18" t="s">
        <v>29</v>
      </c>
      <c r="N13" s="18" t="s">
        <v>29</v>
      </c>
      <c r="O13" s="17" t="s">
        <v>30</v>
      </c>
      <c r="P13" s="17" t="s">
        <v>29</v>
      </c>
      <c r="Q13" s="17" t="s">
        <v>30</v>
      </c>
      <c r="R13" s="17" t="s">
        <v>29</v>
      </c>
      <c r="S13" s="17" t="s">
        <v>29</v>
      </c>
      <c r="T13" s="19"/>
      <c r="U13" s="19"/>
      <c r="V13" s="19"/>
      <c r="W13" s="19"/>
      <c r="X13" s="19"/>
      <c r="Y13" s="19"/>
      <c r="Z13" s="19"/>
      <c r="AA13" s="19"/>
      <c r="AB13" s="19"/>
      <c r="AC13" s="19"/>
    </row>
    <row r="14" hidden="1">
      <c r="A14" s="20"/>
      <c r="B14" s="21"/>
      <c r="C14" s="21"/>
      <c r="D14" s="23" t="s">
        <v>15</v>
      </c>
      <c r="E14" s="24">
        <f t="shared" ref="E14:S14" si="7">if(E13=$D13,1,0)</f>
        <v>1</v>
      </c>
      <c r="F14" s="24">
        <f t="shared" si="7"/>
        <v>1</v>
      </c>
      <c r="G14" s="24">
        <f t="shared" si="7"/>
        <v>1</v>
      </c>
      <c r="H14" s="24">
        <f t="shared" si="7"/>
        <v>0</v>
      </c>
      <c r="I14" s="24">
        <f t="shared" si="7"/>
        <v>1</v>
      </c>
      <c r="J14" s="25">
        <f t="shared" si="7"/>
        <v>1</v>
      </c>
      <c r="K14" s="24">
        <f t="shared" si="7"/>
        <v>1</v>
      </c>
      <c r="L14" s="24">
        <f t="shared" si="7"/>
        <v>1</v>
      </c>
      <c r="M14" s="24">
        <f t="shared" si="7"/>
        <v>1</v>
      </c>
      <c r="N14" s="24">
        <f t="shared" si="7"/>
        <v>1</v>
      </c>
      <c r="O14" s="24">
        <f t="shared" si="7"/>
        <v>0</v>
      </c>
      <c r="P14" s="24">
        <f t="shared" si="7"/>
        <v>1</v>
      </c>
      <c r="Q14" s="24">
        <f t="shared" si="7"/>
        <v>0</v>
      </c>
      <c r="R14" s="24">
        <f t="shared" si="7"/>
        <v>1</v>
      </c>
      <c r="S14" s="24">
        <f t="shared" si="7"/>
        <v>1</v>
      </c>
      <c r="T14" s="7"/>
      <c r="U14" s="7"/>
      <c r="V14" s="7"/>
      <c r="W14" s="7"/>
      <c r="X14" s="7"/>
      <c r="Y14" s="7"/>
      <c r="Z14" s="7"/>
      <c r="AA14" s="7"/>
      <c r="AB14" s="7"/>
      <c r="AC14" s="7"/>
    </row>
    <row r="15">
      <c r="A15" s="13">
        <v>7.0</v>
      </c>
      <c r="B15" s="26" t="s">
        <v>39</v>
      </c>
      <c r="C15" s="15" t="s">
        <v>18</v>
      </c>
      <c r="D15" s="16" t="s">
        <v>19</v>
      </c>
      <c r="E15" s="17" t="s">
        <v>19</v>
      </c>
      <c r="F15" s="17" t="s">
        <v>20</v>
      </c>
      <c r="G15" s="17" t="s">
        <v>20</v>
      </c>
      <c r="H15" s="17" t="s">
        <v>20</v>
      </c>
      <c r="I15" s="17" t="s">
        <v>19</v>
      </c>
      <c r="J15" s="17" t="s">
        <v>20</v>
      </c>
      <c r="K15" s="17" t="s">
        <v>20</v>
      </c>
      <c r="L15" s="17" t="s">
        <v>19</v>
      </c>
      <c r="M15" s="17" t="s">
        <v>21</v>
      </c>
      <c r="N15" s="18" t="s">
        <v>20</v>
      </c>
      <c r="O15" s="17" t="s">
        <v>20</v>
      </c>
      <c r="P15" s="17" t="s">
        <v>19</v>
      </c>
      <c r="Q15" s="17" t="s">
        <v>19</v>
      </c>
      <c r="R15" s="17" t="s">
        <v>20</v>
      </c>
      <c r="S15" s="17" t="s">
        <v>19</v>
      </c>
      <c r="T15" s="19"/>
      <c r="U15" s="19"/>
      <c r="V15" s="19"/>
      <c r="W15" s="19"/>
      <c r="X15" s="19"/>
      <c r="Y15" s="19"/>
      <c r="Z15" s="19"/>
      <c r="AA15" s="19"/>
      <c r="AB15" s="19"/>
      <c r="AC15" s="19"/>
    </row>
    <row r="16" hidden="1">
      <c r="A16" s="20"/>
      <c r="B16" s="21"/>
      <c r="C16" s="21"/>
      <c r="D16" s="23" t="s">
        <v>15</v>
      </c>
      <c r="E16" s="24">
        <f t="shared" ref="E16:S16" si="8">if(E15=$D15,1,0)</f>
        <v>1</v>
      </c>
      <c r="F16" s="24">
        <f t="shared" si="8"/>
        <v>0</v>
      </c>
      <c r="G16" s="24">
        <f t="shared" si="8"/>
        <v>0</v>
      </c>
      <c r="H16" s="24">
        <f t="shared" si="8"/>
        <v>0</v>
      </c>
      <c r="I16" s="24">
        <f t="shared" si="8"/>
        <v>1</v>
      </c>
      <c r="J16" s="25">
        <f t="shared" si="8"/>
        <v>0</v>
      </c>
      <c r="K16" s="24">
        <f t="shared" si="8"/>
        <v>0</v>
      </c>
      <c r="L16" s="24">
        <f t="shared" si="8"/>
        <v>1</v>
      </c>
      <c r="M16" s="24">
        <f t="shared" si="8"/>
        <v>0</v>
      </c>
      <c r="N16" s="24">
        <f t="shared" si="8"/>
        <v>0</v>
      </c>
      <c r="O16" s="24">
        <f t="shared" si="8"/>
        <v>0</v>
      </c>
      <c r="P16" s="24">
        <f t="shared" si="8"/>
        <v>1</v>
      </c>
      <c r="Q16" s="24">
        <f t="shared" si="8"/>
        <v>1</v>
      </c>
      <c r="R16" s="24">
        <f t="shared" si="8"/>
        <v>0</v>
      </c>
      <c r="S16" s="24">
        <f t="shared" si="8"/>
        <v>1</v>
      </c>
      <c r="T16" s="7"/>
      <c r="U16" s="7"/>
      <c r="V16" s="7"/>
      <c r="W16" s="7"/>
      <c r="X16" s="7"/>
      <c r="Y16" s="7"/>
      <c r="Z16" s="7"/>
      <c r="AA16" s="7"/>
      <c r="AB16" s="7"/>
      <c r="AC16" s="7"/>
    </row>
    <row r="17">
      <c r="A17" s="28">
        <v>8.0</v>
      </c>
      <c r="B17" s="29" t="s">
        <v>40</v>
      </c>
      <c r="C17" s="30" t="s">
        <v>18</v>
      </c>
      <c r="D17" s="31" t="s">
        <v>19</v>
      </c>
      <c r="E17" s="32" t="s">
        <v>20</v>
      </c>
      <c r="F17" s="32" t="s">
        <v>19</v>
      </c>
      <c r="G17" s="32" t="s">
        <v>20</v>
      </c>
      <c r="H17" s="32" t="s">
        <v>20</v>
      </c>
      <c r="I17" s="32" t="s">
        <v>20</v>
      </c>
      <c r="J17" s="32" t="s">
        <v>20</v>
      </c>
      <c r="K17" s="32" t="s">
        <v>20</v>
      </c>
      <c r="L17" s="32" t="s">
        <v>20</v>
      </c>
      <c r="M17" s="32" t="s">
        <v>21</v>
      </c>
      <c r="N17" s="32" t="s">
        <v>20</v>
      </c>
      <c r="O17" s="32" t="s">
        <v>20</v>
      </c>
      <c r="P17" s="32" t="s">
        <v>20</v>
      </c>
      <c r="Q17" s="32" t="s">
        <v>20</v>
      </c>
      <c r="R17" s="32" t="s">
        <v>20</v>
      </c>
      <c r="S17" s="32" t="s">
        <v>20</v>
      </c>
      <c r="T17" s="7"/>
      <c r="U17" s="7"/>
      <c r="V17" s="7"/>
      <c r="W17" s="7"/>
      <c r="X17" s="7"/>
      <c r="Y17" s="7"/>
      <c r="Z17" s="7"/>
      <c r="AA17" s="7"/>
      <c r="AB17" s="7"/>
      <c r="AC17" s="7"/>
    </row>
    <row r="18" hidden="1">
      <c r="A18" s="20"/>
      <c r="B18" s="21"/>
      <c r="C18" s="21"/>
      <c r="D18" s="23" t="s">
        <v>15</v>
      </c>
      <c r="E18" s="24">
        <f t="shared" ref="E18:S18" si="9">if(E17=$D17,1,0)</f>
        <v>0</v>
      </c>
      <c r="F18" s="24">
        <f t="shared" si="9"/>
        <v>1</v>
      </c>
      <c r="G18" s="24">
        <f t="shared" si="9"/>
        <v>0</v>
      </c>
      <c r="H18" s="24">
        <f t="shared" si="9"/>
        <v>0</v>
      </c>
      <c r="I18" s="24">
        <f t="shared" si="9"/>
        <v>0</v>
      </c>
      <c r="J18" s="25">
        <f t="shared" si="9"/>
        <v>0</v>
      </c>
      <c r="K18" s="24">
        <f t="shared" si="9"/>
        <v>0</v>
      </c>
      <c r="L18" s="24">
        <f t="shared" si="9"/>
        <v>0</v>
      </c>
      <c r="M18" s="24">
        <f t="shared" si="9"/>
        <v>0</v>
      </c>
      <c r="N18" s="24">
        <f t="shared" si="9"/>
        <v>0</v>
      </c>
      <c r="O18" s="24">
        <f t="shared" si="9"/>
        <v>0</v>
      </c>
      <c r="P18" s="24">
        <f t="shared" si="9"/>
        <v>0</v>
      </c>
      <c r="Q18" s="24">
        <f t="shared" si="9"/>
        <v>0</v>
      </c>
      <c r="R18" s="24">
        <f t="shared" si="9"/>
        <v>0</v>
      </c>
      <c r="S18" s="24">
        <f t="shared" si="9"/>
        <v>0</v>
      </c>
      <c r="T18" s="7"/>
      <c r="U18" s="7"/>
      <c r="V18" s="7"/>
      <c r="W18" s="7"/>
      <c r="X18" s="7"/>
      <c r="Y18" s="7"/>
      <c r="Z18" s="7"/>
      <c r="AA18" s="7"/>
      <c r="AB18" s="7"/>
      <c r="AC18" s="7"/>
    </row>
    <row r="19">
      <c r="A19" s="28">
        <v>9.0</v>
      </c>
      <c r="B19" s="29" t="s">
        <v>41</v>
      </c>
      <c r="C19" s="30" t="s">
        <v>18</v>
      </c>
      <c r="D19" s="31" t="s">
        <v>19</v>
      </c>
      <c r="E19" s="32" t="s">
        <v>20</v>
      </c>
      <c r="F19" s="32" t="s">
        <v>20</v>
      </c>
      <c r="G19" s="32" t="s">
        <v>19</v>
      </c>
      <c r="H19" s="32" t="s">
        <v>19</v>
      </c>
      <c r="I19" s="32" t="s">
        <v>20</v>
      </c>
      <c r="J19" s="32" t="s">
        <v>20</v>
      </c>
      <c r="K19" s="32" t="s">
        <v>19</v>
      </c>
      <c r="L19" s="32" t="s">
        <v>19</v>
      </c>
      <c r="M19" s="32" t="s">
        <v>19</v>
      </c>
      <c r="N19" s="32" t="s">
        <v>19</v>
      </c>
      <c r="O19" s="32" t="s">
        <v>19</v>
      </c>
      <c r="P19" s="32" t="s">
        <v>19</v>
      </c>
      <c r="Q19" s="32" t="s">
        <v>19</v>
      </c>
      <c r="R19" s="32" t="s">
        <v>19</v>
      </c>
      <c r="S19" s="32" t="s">
        <v>19</v>
      </c>
      <c r="T19" s="7"/>
      <c r="U19" s="7"/>
      <c r="V19" s="7"/>
      <c r="W19" s="7"/>
      <c r="X19" s="7"/>
      <c r="Y19" s="7"/>
      <c r="Z19" s="7"/>
      <c r="AA19" s="7"/>
      <c r="AB19" s="7"/>
      <c r="AC19" s="7"/>
    </row>
    <row r="20" hidden="1">
      <c r="A20" s="20"/>
      <c r="B20" s="21"/>
      <c r="C20" s="21"/>
      <c r="D20" s="23" t="s">
        <v>15</v>
      </c>
      <c r="E20" s="24">
        <f t="shared" ref="E20:S20" si="10">if(E19=$D19,1,0)</f>
        <v>0</v>
      </c>
      <c r="F20" s="24">
        <f t="shared" si="10"/>
        <v>0</v>
      </c>
      <c r="G20" s="24">
        <f t="shared" si="10"/>
        <v>1</v>
      </c>
      <c r="H20" s="24">
        <f t="shared" si="10"/>
        <v>1</v>
      </c>
      <c r="I20" s="24">
        <f t="shared" si="10"/>
        <v>0</v>
      </c>
      <c r="J20" s="25">
        <f t="shared" si="10"/>
        <v>0</v>
      </c>
      <c r="K20" s="24">
        <f t="shared" si="10"/>
        <v>1</v>
      </c>
      <c r="L20" s="24">
        <f t="shared" si="10"/>
        <v>1</v>
      </c>
      <c r="M20" s="24">
        <f t="shared" si="10"/>
        <v>1</v>
      </c>
      <c r="N20" s="24">
        <f t="shared" si="10"/>
        <v>1</v>
      </c>
      <c r="O20" s="24">
        <f t="shared" si="10"/>
        <v>1</v>
      </c>
      <c r="P20" s="24">
        <f t="shared" si="10"/>
        <v>1</v>
      </c>
      <c r="Q20" s="24">
        <f t="shared" si="10"/>
        <v>1</v>
      </c>
      <c r="R20" s="24">
        <f t="shared" si="10"/>
        <v>1</v>
      </c>
      <c r="S20" s="24">
        <f t="shared" si="10"/>
        <v>1</v>
      </c>
      <c r="T20" s="7"/>
      <c r="U20" s="7"/>
      <c r="V20" s="7"/>
      <c r="W20" s="7"/>
      <c r="X20" s="7"/>
      <c r="Y20" s="7"/>
      <c r="Z20" s="7"/>
      <c r="AA20" s="7"/>
      <c r="AB20" s="7"/>
      <c r="AC20" s="7"/>
    </row>
    <row r="21">
      <c r="A21" s="13">
        <v>10.0</v>
      </c>
      <c r="B21" s="14" t="s">
        <v>42</v>
      </c>
      <c r="C21" s="27" t="s">
        <v>43</v>
      </c>
      <c r="D21" s="16" t="s">
        <v>44</v>
      </c>
      <c r="E21" s="17" t="s">
        <v>44</v>
      </c>
      <c r="F21" s="17" t="s">
        <v>44</v>
      </c>
      <c r="G21" s="17" t="s">
        <v>45</v>
      </c>
      <c r="H21" s="17" t="s">
        <v>45</v>
      </c>
      <c r="I21" s="17" t="s">
        <v>44</v>
      </c>
      <c r="J21" s="17" t="s">
        <v>44</v>
      </c>
      <c r="K21" s="17" t="s">
        <v>45</v>
      </c>
      <c r="L21" s="17" t="s">
        <v>44</v>
      </c>
      <c r="M21" s="17" t="s">
        <v>46</v>
      </c>
      <c r="N21" s="17" t="s">
        <v>44</v>
      </c>
      <c r="O21" s="17" t="s">
        <v>45</v>
      </c>
      <c r="P21" s="17" t="s">
        <v>44</v>
      </c>
      <c r="Q21" s="17" t="s">
        <v>45</v>
      </c>
      <c r="R21" s="17" t="s">
        <v>45</v>
      </c>
      <c r="S21" s="17" t="s">
        <v>45</v>
      </c>
      <c r="T21" s="19"/>
      <c r="U21" s="19"/>
      <c r="V21" s="19"/>
      <c r="W21" s="19"/>
      <c r="X21" s="19"/>
      <c r="Y21" s="19"/>
      <c r="Z21" s="19"/>
      <c r="AA21" s="19"/>
      <c r="AB21" s="19"/>
      <c r="AC21" s="19"/>
    </row>
    <row r="22" hidden="1">
      <c r="A22" s="20"/>
      <c r="B22" s="21"/>
      <c r="C22" s="21"/>
      <c r="D22" s="23" t="s">
        <v>15</v>
      </c>
      <c r="E22" s="24">
        <f t="shared" ref="E22:S22" si="11">if(E21=$D21,1,0)</f>
        <v>1</v>
      </c>
      <c r="F22" s="24">
        <f t="shared" si="11"/>
        <v>1</v>
      </c>
      <c r="G22" s="24">
        <f t="shared" si="11"/>
        <v>0</v>
      </c>
      <c r="H22" s="24">
        <f t="shared" si="11"/>
        <v>0</v>
      </c>
      <c r="I22" s="24">
        <f t="shared" si="11"/>
        <v>1</v>
      </c>
      <c r="J22" s="25">
        <f t="shared" si="11"/>
        <v>1</v>
      </c>
      <c r="K22" s="24">
        <f t="shared" si="11"/>
        <v>0</v>
      </c>
      <c r="L22" s="24">
        <f t="shared" si="11"/>
        <v>1</v>
      </c>
      <c r="M22" s="24">
        <f t="shared" si="11"/>
        <v>0</v>
      </c>
      <c r="N22" s="24">
        <f t="shared" si="11"/>
        <v>1</v>
      </c>
      <c r="O22" s="24">
        <f t="shared" si="11"/>
        <v>0</v>
      </c>
      <c r="P22" s="24">
        <f t="shared" si="11"/>
        <v>1</v>
      </c>
      <c r="Q22" s="24">
        <f t="shared" si="11"/>
        <v>0</v>
      </c>
      <c r="R22" s="24">
        <f t="shared" si="11"/>
        <v>0</v>
      </c>
      <c r="S22" s="24">
        <f t="shared" si="11"/>
        <v>0</v>
      </c>
      <c r="T22" s="7"/>
      <c r="U22" s="7"/>
      <c r="V22" s="7"/>
      <c r="W22" s="7"/>
      <c r="X22" s="7"/>
      <c r="Y22" s="7"/>
      <c r="Z22" s="7"/>
      <c r="AA22" s="7"/>
      <c r="AB22" s="7"/>
      <c r="AC22" s="7"/>
    </row>
    <row r="23">
      <c r="A23" s="28">
        <v>11.0</v>
      </c>
      <c r="B23" s="33" t="s">
        <v>47</v>
      </c>
      <c r="C23" s="30" t="s">
        <v>18</v>
      </c>
      <c r="D23" s="31" t="s">
        <v>20</v>
      </c>
      <c r="E23" s="32" t="s">
        <v>20</v>
      </c>
      <c r="F23" s="32" t="s">
        <v>20</v>
      </c>
      <c r="G23" s="32" t="s">
        <v>19</v>
      </c>
      <c r="H23" s="32" t="s">
        <v>19</v>
      </c>
      <c r="I23" s="32" t="s">
        <v>20</v>
      </c>
      <c r="J23" s="32" t="s">
        <v>19</v>
      </c>
      <c r="K23" s="32" t="s">
        <v>19</v>
      </c>
      <c r="L23" s="32" t="s">
        <v>19</v>
      </c>
      <c r="M23" s="32" t="s">
        <v>19</v>
      </c>
      <c r="N23" s="32" t="s">
        <v>20</v>
      </c>
      <c r="O23" s="32" t="s">
        <v>19</v>
      </c>
      <c r="P23" s="32" t="s">
        <v>19</v>
      </c>
      <c r="Q23" s="32" t="s">
        <v>20</v>
      </c>
      <c r="R23" s="32" t="s">
        <v>19</v>
      </c>
      <c r="S23" s="32" t="s">
        <v>19</v>
      </c>
      <c r="T23" s="7"/>
      <c r="U23" s="7"/>
      <c r="V23" s="7"/>
      <c r="W23" s="7"/>
      <c r="X23" s="7"/>
      <c r="Y23" s="7"/>
      <c r="Z23" s="7"/>
      <c r="AA23" s="7"/>
      <c r="AB23" s="7"/>
      <c r="AC23" s="7"/>
    </row>
    <row r="24" hidden="1">
      <c r="A24" s="20"/>
      <c r="B24" s="21"/>
      <c r="C24" s="21"/>
      <c r="D24" s="23" t="s">
        <v>15</v>
      </c>
      <c r="E24" s="24">
        <f t="shared" ref="E24:S24" si="12">if(E23=$D23,1,0)</f>
        <v>1</v>
      </c>
      <c r="F24" s="24">
        <f t="shared" si="12"/>
        <v>1</v>
      </c>
      <c r="G24" s="24">
        <f t="shared" si="12"/>
        <v>0</v>
      </c>
      <c r="H24" s="24">
        <f t="shared" si="12"/>
        <v>0</v>
      </c>
      <c r="I24" s="24">
        <f t="shared" si="12"/>
        <v>1</v>
      </c>
      <c r="J24" s="25">
        <f t="shared" si="12"/>
        <v>0</v>
      </c>
      <c r="K24" s="24">
        <f t="shared" si="12"/>
        <v>0</v>
      </c>
      <c r="L24" s="24">
        <f t="shared" si="12"/>
        <v>0</v>
      </c>
      <c r="M24" s="24">
        <f t="shared" si="12"/>
        <v>0</v>
      </c>
      <c r="N24" s="24">
        <f t="shared" si="12"/>
        <v>1</v>
      </c>
      <c r="O24" s="24">
        <f t="shared" si="12"/>
        <v>0</v>
      </c>
      <c r="P24" s="24">
        <f t="shared" si="12"/>
        <v>0</v>
      </c>
      <c r="Q24" s="24">
        <f t="shared" si="12"/>
        <v>1</v>
      </c>
      <c r="R24" s="24">
        <f t="shared" si="12"/>
        <v>0</v>
      </c>
      <c r="S24" s="24">
        <f t="shared" si="12"/>
        <v>0</v>
      </c>
      <c r="T24" s="7"/>
      <c r="U24" s="7"/>
      <c r="V24" s="7"/>
      <c r="W24" s="7"/>
      <c r="X24" s="7"/>
      <c r="Y24" s="7"/>
      <c r="Z24" s="7"/>
      <c r="AA24" s="7"/>
      <c r="AB24" s="7"/>
      <c r="AC24" s="7"/>
    </row>
    <row r="25">
      <c r="A25" s="28">
        <v>12.0</v>
      </c>
      <c r="B25" s="33" t="s">
        <v>48</v>
      </c>
      <c r="C25" s="30" t="s">
        <v>18</v>
      </c>
      <c r="D25" s="31" t="s">
        <v>19</v>
      </c>
      <c r="E25" s="32" t="s">
        <v>20</v>
      </c>
      <c r="F25" s="32" t="s">
        <v>19</v>
      </c>
      <c r="G25" s="32" t="s">
        <v>20</v>
      </c>
      <c r="H25" s="32" t="s">
        <v>19</v>
      </c>
      <c r="I25" s="32" t="s">
        <v>20</v>
      </c>
      <c r="J25" s="32" t="s">
        <v>20</v>
      </c>
      <c r="K25" s="32" t="s">
        <v>19</v>
      </c>
      <c r="L25" s="32" t="s">
        <v>19</v>
      </c>
      <c r="M25" s="32" t="s">
        <v>19</v>
      </c>
      <c r="N25" s="32" t="s">
        <v>19</v>
      </c>
      <c r="O25" s="32" t="s">
        <v>20</v>
      </c>
      <c r="P25" s="32" t="s">
        <v>19</v>
      </c>
      <c r="Q25" s="32" t="s">
        <v>20</v>
      </c>
      <c r="R25" s="32" t="s">
        <v>19</v>
      </c>
      <c r="S25" s="32" t="s">
        <v>19</v>
      </c>
      <c r="T25" s="7"/>
      <c r="U25" s="7"/>
      <c r="V25" s="7"/>
      <c r="W25" s="7"/>
      <c r="X25" s="7"/>
      <c r="Y25" s="7"/>
      <c r="Z25" s="7"/>
      <c r="AA25" s="7"/>
      <c r="AB25" s="7"/>
      <c r="AC25" s="7"/>
    </row>
    <row r="26" hidden="1">
      <c r="A26" s="20"/>
      <c r="B26" s="21"/>
      <c r="C26" s="21"/>
      <c r="D26" s="21"/>
      <c r="E26" s="24">
        <f t="shared" ref="E26:S26" si="13">if(E25=$D25,1,0)</f>
        <v>0</v>
      </c>
      <c r="F26" s="24">
        <f t="shared" si="13"/>
        <v>1</v>
      </c>
      <c r="G26" s="24">
        <f t="shared" si="13"/>
        <v>0</v>
      </c>
      <c r="H26" s="24">
        <f t="shared" si="13"/>
        <v>1</v>
      </c>
      <c r="I26" s="24">
        <f t="shared" si="13"/>
        <v>0</v>
      </c>
      <c r="J26" s="25">
        <f t="shared" si="13"/>
        <v>0</v>
      </c>
      <c r="K26" s="24">
        <f t="shared" si="13"/>
        <v>1</v>
      </c>
      <c r="L26" s="24">
        <f t="shared" si="13"/>
        <v>1</v>
      </c>
      <c r="M26" s="24">
        <f t="shared" si="13"/>
        <v>1</v>
      </c>
      <c r="N26" s="24">
        <f t="shared" si="13"/>
        <v>1</v>
      </c>
      <c r="O26" s="24">
        <f t="shared" si="13"/>
        <v>0</v>
      </c>
      <c r="P26" s="24">
        <f t="shared" si="13"/>
        <v>1</v>
      </c>
      <c r="Q26" s="24">
        <f t="shared" si="13"/>
        <v>0</v>
      </c>
      <c r="R26" s="24">
        <f t="shared" si="13"/>
        <v>1</v>
      </c>
      <c r="S26" s="24">
        <f t="shared" si="13"/>
        <v>1</v>
      </c>
      <c r="T26" s="7"/>
      <c r="U26" s="7"/>
      <c r="V26" s="7"/>
      <c r="W26" s="7"/>
      <c r="X26" s="7"/>
      <c r="Y26" s="7"/>
      <c r="Z26" s="7"/>
      <c r="AA26" s="7"/>
      <c r="AB26" s="7"/>
      <c r="AC26" s="7"/>
    </row>
    <row r="27">
      <c r="A27" s="28">
        <v>13.0</v>
      </c>
      <c r="B27" s="33" t="s">
        <v>49</v>
      </c>
      <c r="C27" s="30" t="s">
        <v>33</v>
      </c>
      <c r="D27" s="31" t="s">
        <v>34</v>
      </c>
      <c r="E27" s="32" t="s">
        <v>34</v>
      </c>
      <c r="F27" s="32" t="s">
        <v>34</v>
      </c>
      <c r="G27" s="32" t="s">
        <v>34</v>
      </c>
      <c r="H27" s="32" t="s">
        <v>34</v>
      </c>
      <c r="I27" s="32" t="s">
        <v>34</v>
      </c>
      <c r="J27" s="32" t="s">
        <v>34</v>
      </c>
      <c r="K27" s="32" t="s">
        <v>34</v>
      </c>
      <c r="L27" s="32" t="s">
        <v>34</v>
      </c>
      <c r="M27" s="32" t="s">
        <v>34</v>
      </c>
      <c r="N27" s="32" t="s">
        <v>34</v>
      </c>
      <c r="O27" s="32" t="s">
        <v>34</v>
      </c>
      <c r="P27" s="32" t="s">
        <v>35</v>
      </c>
      <c r="Q27" s="32" t="s">
        <v>35</v>
      </c>
      <c r="R27" s="32" t="s">
        <v>35</v>
      </c>
      <c r="S27" s="32" t="s">
        <v>35</v>
      </c>
      <c r="T27" s="7"/>
      <c r="U27" s="7"/>
      <c r="V27" s="7"/>
      <c r="W27" s="7"/>
      <c r="X27" s="7"/>
      <c r="Y27" s="7"/>
      <c r="Z27" s="7"/>
      <c r="AA27" s="7"/>
      <c r="AB27" s="7"/>
      <c r="AC27" s="7"/>
    </row>
    <row r="28" hidden="1">
      <c r="A28" s="20"/>
      <c r="B28" s="21"/>
      <c r="C28" s="21"/>
      <c r="D28" s="23" t="s">
        <v>15</v>
      </c>
      <c r="E28" s="24">
        <f t="shared" ref="E28:S28" si="14">if(E27=$D27,1,0)</f>
        <v>1</v>
      </c>
      <c r="F28" s="24">
        <f t="shared" si="14"/>
        <v>1</v>
      </c>
      <c r="G28" s="24">
        <f t="shared" si="14"/>
        <v>1</v>
      </c>
      <c r="H28" s="24">
        <f t="shared" si="14"/>
        <v>1</v>
      </c>
      <c r="I28" s="24">
        <f t="shared" si="14"/>
        <v>1</v>
      </c>
      <c r="J28" s="25">
        <f t="shared" si="14"/>
        <v>1</v>
      </c>
      <c r="K28" s="24">
        <f t="shared" si="14"/>
        <v>1</v>
      </c>
      <c r="L28" s="24">
        <f t="shared" si="14"/>
        <v>1</v>
      </c>
      <c r="M28" s="24">
        <f t="shared" si="14"/>
        <v>1</v>
      </c>
      <c r="N28" s="24">
        <f t="shared" si="14"/>
        <v>1</v>
      </c>
      <c r="O28" s="24">
        <f t="shared" si="14"/>
        <v>1</v>
      </c>
      <c r="P28" s="24">
        <f t="shared" si="14"/>
        <v>0</v>
      </c>
      <c r="Q28" s="24">
        <f t="shared" si="14"/>
        <v>0</v>
      </c>
      <c r="R28" s="24">
        <f t="shared" si="14"/>
        <v>0</v>
      </c>
      <c r="S28" s="24">
        <f t="shared" si="14"/>
        <v>0</v>
      </c>
      <c r="T28" s="7"/>
      <c r="U28" s="7"/>
      <c r="V28" s="7"/>
      <c r="W28" s="7"/>
      <c r="X28" s="7"/>
      <c r="Y28" s="7"/>
      <c r="Z28" s="7"/>
      <c r="AA28" s="7"/>
      <c r="AB28" s="7"/>
      <c r="AC28" s="7"/>
    </row>
    <row r="29">
      <c r="A29" s="13">
        <v>14.0</v>
      </c>
      <c r="B29" s="26" t="s">
        <v>50</v>
      </c>
      <c r="C29" s="15" t="s">
        <v>18</v>
      </c>
      <c r="D29" s="16" t="s">
        <v>20</v>
      </c>
      <c r="E29" s="17" t="s">
        <v>19</v>
      </c>
      <c r="F29" s="17" t="s">
        <v>20</v>
      </c>
      <c r="G29" s="17" t="s">
        <v>19</v>
      </c>
      <c r="H29" s="17" t="s">
        <v>19</v>
      </c>
      <c r="I29" s="17" t="s">
        <v>20</v>
      </c>
      <c r="J29" s="17" t="s">
        <v>19</v>
      </c>
      <c r="K29" s="17" t="s">
        <v>20</v>
      </c>
      <c r="L29" s="17" t="s">
        <v>19</v>
      </c>
      <c r="M29" s="17" t="s">
        <v>19</v>
      </c>
      <c r="N29" s="17" t="s">
        <v>19</v>
      </c>
      <c r="O29" s="17" t="s">
        <v>19</v>
      </c>
      <c r="P29" s="17" t="s">
        <v>19</v>
      </c>
      <c r="Q29" s="17" t="s">
        <v>19</v>
      </c>
      <c r="R29" s="17" t="s">
        <v>19</v>
      </c>
      <c r="S29" s="17" t="s">
        <v>51</v>
      </c>
      <c r="T29" s="19"/>
      <c r="U29" s="19"/>
      <c r="V29" s="19"/>
      <c r="W29" s="19"/>
      <c r="X29" s="19"/>
      <c r="Y29" s="19"/>
      <c r="Z29" s="19"/>
      <c r="AA29" s="19"/>
      <c r="AB29" s="19"/>
      <c r="AC29" s="19"/>
    </row>
    <row r="30" hidden="1">
      <c r="A30" s="20"/>
      <c r="B30" s="21"/>
      <c r="C30" s="21"/>
      <c r="D30" s="23" t="s">
        <v>15</v>
      </c>
      <c r="E30" s="24">
        <f t="shared" ref="E30:S30" si="15">if(E29=$D29,1,0)</f>
        <v>0</v>
      </c>
      <c r="F30" s="24">
        <f t="shared" si="15"/>
        <v>1</v>
      </c>
      <c r="G30" s="24">
        <f t="shared" si="15"/>
        <v>0</v>
      </c>
      <c r="H30" s="24">
        <f t="shared" si="15"/>
        <v>0</v>
      </c>
      <c r="I30" s="24">
        <f t="shared" si="15"/>
        <v>1</v>
      </c>
      <c r="J30" s="25">
        <f t="shared" si="15"/>
        <v>0</v>
      </c>
      <c r="K30" s="24">
        <f t="shared" si="15"/>
        <v>1</v>
      </c>
      <c r="L30" s="24">
        <f t="shared" si="15"/>
        <v>0</v>
      </c>
      <c r="M30" s="24">
        <f t="shared" si="15"/>
        <v>0</v>
      </c>
      <c r="N30" s="24">
        <f t="shared" si="15"/>
        <v>0</v>
      </c>
      <c r="O30" s="24">
        <f t="shared" si="15"/>
        <v>0</v>
      </c>
      <c r="P30" s="24">
        <f t="shared" si="15"/>
        <v>0</v>
      </c>
      <c r="Q30" s="24">
        <f t="shared" si="15"/>
        <v>0</v>
      </c>
      <c r="R30" s="24">
        <f t="shared" si="15"/>
        <v>0</v>
      </c>
      <c r="S30" s="24">
        <f t="shared" si="15"/>
        <v>0</v>
      </c>
      <c r="T30" s="7"/>
      <c r="U30" s="7"/>
      <c r="V30" s="7"/>
      <c r="W30" s="7"/>
      <c r="X30" s="7"/>
      <c r="Y30" s="7"/>
      <c r="Z30" s="7"/>
      <c r="AA30" s="7"/>
      <c r="AB30" s="7"/>
      <c r="AC30" s="7"/>
    </row>
    <row r="31">
      <c r="A31" s="28">
        <v>15.0</v>
      </c>
      <c r="B31" s="33" t="s">
        <v>52</v>
      </c>
      <c r="C31" s="30" t="s">
        <v>18</v>
      </c>
      <c r="D31" s="31" t="s">
        <v>19</v>
      </c>
      <c r="E31" s="32" t="s">
        <v>20</v>
      </c>
      <c r="F31" s="32" t="s">
        <v>20</v>
      </c>
      <c r="G31" s="32" t="s">
        <v>20</v>
      </c>
      <c r="H31" s="32" t="s">
        <v>20</v>
      </c>
      <c r="I31" s="32" t="s">
        <v>20</v>
      </c>
      <c r="J31" s="32" t="s">
        <v>20</v>
      </c>
      <c r="K31" s="32" t="s">
        <v>20</v>
      </c>
      <c r="L31" s="32" t="s">
        <v>20</v>
      </c>
      <c r="M31" s="32" t="s">
        <v>19</v>
      </c>
      <c r="N31" s="32" t="s">
        <v>19</v>
      </c>
      <c r="O31" s="32" t="s">
        <v>20</v>
      </c>
      <c r="P31" s="32" t="s">
        <v>20</v>
      </c>
      <c r="Q31" s="32" t="s">
        <v>19</v>
      </c>
      <c r="R31" s="32" t="s">
        <v>20</v>
      </c>
      <c r="S31" s="32" t="s">
        <v>19</v>
      </c>
      <c r="T31" s="7"/>
      <c r="U31" s="7"/>
      <c r="V31" s="7"/>
      <c r="W31" s="7"/>
      <c r="X31" s="7"/>
      <c r="Y31" s="7"/>
      <c r="Z31" s="7"/>
      <c r="AA31" s="7"/>
      <c r="AB31" s="7"/>
      <c r="AC31" s="7"/>
    </row>
    <row r="32" hidden="1">
      <c r="A32" s="20"/>
      <c r="B32" s="21"/>
      <c r="C32" s="21"/>
      <c r="D32" s="23" t="s">
        <v>15</v>
      </c>
      <c r="E32" s="25">
        <f t="shared" ref="E32:S32" si="16">if(E31=$D31,1,0)</f>
        <v>0</v>
      </c>
      <c r="F32" s="25">
        <f t="shared" si="16"/>
        <v>0</v>
      </c>
      <c r="G32" s="25">
        <f t="shared" si="16"/>
        <v>0</v>
      </c>
      <c r="H32" s="25">
        <f t="shared" si="16"/>
        <v>0</v>
      </c>
      <c r="I32" s="25">
        <f t="shared" si="16"/>
        <v>0</v>
      </c>
      <c r="J32" s="25">
        <f t="shared" si="16"/>
        <v>0</v>
      </c>
      <c r="K32" s="25">
        <f t="shared" si="16"/>
        <v>0</v>
      </c>
      <c r="L32" s="25">
        <f t="shared" si="16"/>
        <v>0</v>
      </c>
      <c r="M32" s="25">
        <f t="shared" si="16"/>
        <v>1</v>
      </c>
      <c r="N32" s="25">
        <f t="shared" si="16"/>
        <v>1</v>
      </c>
      <c r="O32" s="25">
        <f t="shared" si="16"/>
        <v>0</v>
      </c>
      <c r="P32" s="25">
        <f t="shared" si="16"/>
        <v>0</v>
      </c>
      <c r="Q32" s="25">
        <f t="shared" si="16"/>
        <v>1</v>
      </c>
      <c r="R32" s="25">
        <f t="shared" si="16"/>
        <v>0</v>
      </c>
      <c r="S32" s="25">
        <f t="shared" si="16"/>
        <v>1</v>
      </c>
      <c r="T32" s="7"/>
      <c r="U32" s="7"/>
      <c r="V32" s="7"/>
      <c r="W32" s="7"/>
      <c r="X32" s="7"/>
      <c r="Y32" s="7"/>
      <c r="Z32" s="7"/>
      <c r="AA32" s="7"/>
      <c r="AB32" s="7"/>
      <c r="AC32" s="7"/>
    </row>
    <row r="33">
      <c r="A33" s="28">
        <v>16.0</v>
      </c>
      <c r="B33" s="29" t="s">
        <v>53</v>
      </c>
      <c r="C33" s="30" t="s">
        <v>33</v>
      </c>
      <c r="D33" s="31" t="s">
        <v>34</v>
      </c>
      <c r="E33" s="32" t="s">
        <v>35</v>
      </c>
      <c r="F33" s="32" t="s">
        <v>34</v>
      </c>
      <c r="G33" s="32" t="s">
        <v>34</v>
      </c>
      <c r="H33" s="32" t="s">
        <v>34</v>
      </c>
      <c r="I33" s="32" t="s">
        <v>34</v>
      </c>
      <c r="J33" s="32" t="s">
        <v>34</v>
      </c>
      <c r="K33" s="32" t="s">
        <v>34</v>
      </c>
      <c r="L33" s="32" t="s">
        <v>34</v>
      </c>
      <c r="M33" s="32" t="s">
        <v>34</v>
      </c>
      <c r="N33" s="32" t="s">
        <v>34</v>
      </c>
      <c r="O33" s="32" t="s">
        <v>35</v>
      </c>
      <c r="P33" s="32" t="s">
        <v>35</v>
      </c>
      <c r="Q33" s="32" t="s">
        <v>34</v>
      </c>
      <c r="R33" s="32" t="s">
        <v>35</v>
      </c>
      <c r="S33" s="32" t="s">
        <v>34</v>
      </c>
      <c r="T33" s="7"/>
      <c r="U33" s="7"/>
      <c r="V33" s="7"/>
      <c r="W33" s="7"/>
      <c r="X33" s="7"/>
      <c r="Y33" s="7"/>
      <c r="Z33" s="7"/>
      <c r="AA33" s="7"/>
      <c r="AB33" s="7"/>
      <c r="AC33" s="7"/>
    </row>
    <row r="34" hidden="1">
      <c r="A34" s="20"/>
      <c r="B34" s="21"/>
      <c r="C34" s="21"/>
      <c r="D34" s="23" t="s">
        <v>15</v>
      </c>
      <c r="E34" s="24">
        <f t="shared" ref="E34:S34" si="17">if(E33=$D33,1,0)</f>
        <v>0</v>
      </c>
      <c r="F34" s="24">
        <f t="shared" si="17"/>
        <v>1</v>
      </c>
      <c r="G34" s="24">
        <f t="shared" si="17"/>
        <v>1</v>
      </c>
      <c r="H34" s="24">
        <f t="shared" si="17"/>
        <v>1</v>
      </c>
      <c r="I34" s="24">
        <f t="shared" si="17"/>
        <v>1</v>
      </c>
      <c r="J34" s="25">
        <f t="shared" si="17"/>
        <v>1</v>
      </c>
      <c r="K34" s="24">
        <f t="shared" si="17"/>
        <v>1</v>
      </c>
      <c r="L34" s="24">
        <f t="shared" si="17"/>
        <v>1</v>
      </c>
      <c r="M34" s="24">
        <f t="shared" si="17"/>
        <v>1</v>
      </c>
      <c r="N34" s="24">
        <f t="shared" si="17"/>
        <v>1</v>
      </c>
      <c r="O34" s="24">
        <f t="shared" si="17"/>
        <v>0</v>
      </c>
      <c r="P34" s="24">
        <f t="shared" si="17"/>
        <v>0</v>
      </c>
      <c r="Q34" s="24">
        <f t="shared" si="17"/>
        <v>1</v>
      </c>
      <c r="R34" s="24">
        <f t="shared" si="17"/>
        <v>0</v>
      </c>
      <c r="S34" s="24">
        <f t="shared" si="17"/>
        <v>1</v>
      </c>
      <c r="T34" s="7"/>
      <c r="U34" s="7"/>
      <c r="V34" s="7"/>
      <c r="W34" s="7"/>
      <c r="X34" s="7"/>
      <c r="Y34" s="7"/>
      <c r="Z34" s="7"/>
      <c r="AA34" s="7"/>
      <c r="AB34" s="7"/>
      <c r="AC34" s="7"/>
    </row>
    <row r="35">
      <c r="A35" s="28">
        <v>17.0</v>
      </c>
      <c r="B35" s="29" t="s">
        <v>54</v>
      </c>
      <c r="C35" s="34" t="s">
        <v>28</v>
      </c>
      <c r="D35" s="31" t="s">
        <v>30</v>
      </c>
      <c r="E35" s="32" t="s">
        <v>30</v>
      </c>
      <c r="F35" s="32" t="s">
        <v>29</v>
      </c>
      <c r="G35" s="32" t="s">
        <v>29</v>
      </c>
      <c r="H35" s="32" t="s">
        <v>30</v>
      </c>
      <c r="I35" s="32" t="s">
        <v>30</v>
      </c>
      <c r="J35" s="32" t="s">
        <v>29</v>
      </c>
      <c r="K35" s="32" t="s">
        <v>30</v>
      </c>
      <c r="L35" s="32" t="s">
        <v>30</v>
      </c>
      <c r="M35" s="32" t="s">
        <v>29</v>
      </c>
      <c r="N35" s="32" t="s">
        <v>30</v>
      </c>
      <c r="O35" s="32" t="s">
        <v>30</v>
      </c>
      <c r="P35" s="32" t="s">
        <v>30</v>
      </c>
      <c r="Q35" s="32" t="s">
        <v>29</v>
      </c>
      <c r="R35" s="32" t="s">
        <v>30</v>
      </c>
      <c r="S35" s="32" t="s">
        <v>29</v>
      </c>
      <c r="T35" s="7"/>
      <c r="U35" s="7"/>
      <c r="V35" s="7"/>
      <c r="W35" s="7"/>
      <c r="X35" s="7"/>
      <c r="Y35" s="7"/>
      <c r="Z35" s="7"/>
      <c r="AA35" s="7"/>
      <c r="AB35" s="7"/>
      <c r="AC35" s="7"/>
    </row>
    <row r="36" hidden="1">
      <c r="A36" s="20"/>
      <c r="B36" s="21"/>
      <c r="C36" s="21"/>
      <c r="D36" s="23" t="s">
        <v>15</v>
      </c>
      <c r="E36" s="24">
        <f t="shared" ref="E36:S36" si="18">if(E35=$D35,1,0)</f>
        <v>1</v>
      </c>
      <c r="F36" s="24">
        <f t="shared" si="18"/>
        <v>0</v>
      </c>
      <c r="G36" s="24">
        <f t="shared" si="18"/>
        <v>0</v>
      </c>
      <c r="H36" s="24">
        <f t="shared" si="18"/>
        <v>1</v>
      </c>
      <c r="I36" s="24">
        <f t="shared" si="18"/>
        <v>1</v>
      </c>
      <c r="J36" s="25">
        <f t="shared" si="18"/>
        <v>0</v>
      </c>
      <c r="K36" s="24">
        <f t="shared" si="18"/>
        <v>1</v>
      </c>
      <c r="L36" s="24">
        <f t="shared" si="18"/>
        <v>1</v>
      </c>
      <c r="M36" s="24">
        <f t="shared" si="18"/>
        <v>0</v>
      </c>
      <c r="N36" s="24">
        <f t="shared" si="18"/>
        <v>1</v>
      </c>
      <c r="O36" s="24">
        <f t="shared" si="18"/>
        <v>1</v>
      </c>
      <c r="P36" s="24">
        <f t="shared" si="18"/>
        <v>1</v>
      </c>
      <c r="Q36" s="24">
        <f t="shared" si="18"/>
        <v>0</v>
      </c>
      <c r="R36" s="24">
        <f t="shared" si="18"/>
        <v>1</v>
      </c>
      <c r="S36" s="24">
        <f t="shared" si="18"/>
        <v>0</v>
      </c>
      <c r="T36" s="7"/>
      <c r="U36" s="7"/>
      <c r="V36" s="7"/>
      <c r="W36" s="7"/>
      <c r="X36" s="7"/>
      <c r="Y36" s="7"/>
      <c r="Z36" s="7"/>
      <c r="AA36" s="7"/>
      <c r="AB36" s="7"/>
      <c r="AC36" s="7"/>
    </row>
    <row r="37">
      <c r="A37" s="28">
        <v>18.0</v>
      </c>
      <c r="B37" s="29" t="s">
        <v>55</v>
      </c>
      <c r="C37" s="30" t="s">
        <v>56</v>
      </c>
      <c r="D37" s="31" t="s">
        <v>57</v>
      </c>
      <c r="E37" s="32" t="s">
        <v>57</v>
      </c>
      <c r="F37" s="32" t="s">
        <v>19</v>
      </c>
      <c r="G37" s="32" t="s">
        <v>57</v>
      </c>
      <c r="H37" s="32" t="s">
        <v>19</v>
      </c>
      <c r="I37" s="32" t="s">
        <v>19</v>
      </c>
      <c r="J37" s="32" t="s">
        <v>19</v>
      </c>
      <c r="K37" s="32" t="s">
        <v>19</v>
      </c>
      <c r="L37" s="32" t="s">
        <v>19</v>
      </c>
      <c r="M37" s="35" t="s">
        <v>57</v>
      </c>
      <c r="N37" s="32" t="s">
        <v>19</v>
      </c>
      <c r="O37" s="32" t="s">
        <v>19</v>
      </c>
      <c r="P37" s="32" t="s">
        <v>57</v>
      </c>
      <c r="Q37" s="32" t="s">
        <v>19</v>
      </c>
      <c r="R37" s="32" t="s">
        <v>19</v>
      </c>
      <c r="S37" s="32" t="s">
        <v>57</v>
      </c>
      <c r="T37" s="7"/>
      <c r="U37" s="7"/>
      <c r="V37" s="7"/>
      <c r="W37" s="7"/>
      <c r="X37" s="7"/>
      <c r="Y37" s="7"/>
      <c r="Z37" s="7"/>
      <c r="AA37" s="7"/>
      <c r="AB37" s="7"/>
      <c r="AC37" s="7"/>
    </row>
    <row r="38" hidden="1">
      <c r="A38" s="20"/>
      <c r="B38" s="21"/>
      <c r="C38" s="21"/>
      <c r="D38" s="23" t="s">
        <v>15</v>
      </c>
      <c r="E38" s="24">
        <f t="shared" ref="E38:S38" si="19">if(E37=$D37,1,0)</f>
        <v>1</v>
      </c>
      <c r="F38" s="24">
        <f t="shared" si="19"/>
        <v>0</v>
      </c>
      <c r="G38" s="24">
        <f t="shared" si="19"/>
        <v>1</v>
      </c>
      <c r="H38" s="24">
        <f t="shared" si="19"/>
        <v>0</v>
      </c>
      <c r="I38" s="24">
        <f t="shared" si="19"/>
        <v>0</v>
      </c>
      <c r="J38" s="25">
        <f t="shared" si="19"/>
        <v>0</v>
      </c>
      <c r="K38" s="24">
        <f t="shared" si="19"/>
        <v>0</v>
      </c>
      <c r="L38" s="24">
        <f t="shared" si="19"/>
        <v>0</v>
      </c>
      <c r="M38" s="24">
        <f t="shared" si="19"/>
        <v>1</v>
      </c>
      <c r="N38" s="24">
        <f t="shared" si="19"/>
        <v>0</v>
      </c>
      <c r="O38" s="24">
        <f t="shared" si="19"/>
        <v>0</v>
      </c>
      <c r="P38" s="24">
        <f t="shared" si="19"/>
        <v>1</v>
      </c>
      <c r="Q38" s="24">
        <f t="shared" si="19"/>
        <v>0</v>
      </c>
      <c r="R38" s="24">
        <f t="shared" si="19"/>
        <v>0</v>
      </c>
      <c r="S38" s="24">
        <f t="shared" si="19"/>
        <v>1</v>
      </c>
      <c r="T38" s="7"/>
      <c r="U38" s="7"/>
      <c r="V38" s="7"/>
      <c r="W38" s="7"/>
      <c r="X38" s="7"/>
      <c r="Y38" s="7"/>
      <c r="Z38" s="7"/>
      <c r="AA38" s="7"/>
      <c r="AB38" s="7"/>
      <c r="AC38" s="7"/>
    </row>
    <row r="39">
      <c r="A39" s="28">
        <v>19.0</v>
      </c>
      <c r="B39" s="29" t="s">
        <v>58</v>
      </c>
      <c r="C39" s="34" t="s">
        <v>28</v>
      </c>
      <c r="D39" s="31" t="s">
        <v>29</v>
      </c>
      <c r="E39" s="32" t="s">
        <v>29</v>
      </c>
      <c r="F39" s="32" t="s">
        <v>30</v>
      </c>
      <c r="G39" s="32" t="s">
        <v>29</v>
      </c>
      <c r="H39" s="32" t="s">
        <v>30</v>
      </c>
      <c r="I39" s="32" t="s">
        <v>30</v>
      </c>
      <c r="J39" s="32" t="s">
        <v>29</v>
      </c>
      <c r="K39" s="32" t="s">
        <v>30</v>
      </c>
      <c r="L39" s="32" t="s">
        <v>30</v>
      </c>
      <c r="M39" s="32" t="s">
        <v>30</v>
      </c>
      <c r="N39" s="32" t="s">
        <v>30</v>
      </c>
      <c r="O39" s="32" t="s">
        <v>30</v>
      </c>
      <c r="P39" s="32" t="s">
        <v>29</v>
      </c>
      <c r="Q39" s="32" t="s">
        <v>30</v>
      </c>
      <c r="R39" s="32" t="s">
        <v>30</v>
      </c>
      <c r="S39" s="32" t="s">
        <v>30</v>
      </c>
      <c r="T39" s="7"/>
      <c r="U39" s="7"/>
      <c r="V39" s="7"/>
      <c r="W39" s="7"/>
      <c r="X39" s="7"/>
      <c r="Y39" s="7"/>
      <c r="Z39" s="7"/>
      <c r="AA39" s="7"/>
      <c r="AB39" s="7"/>
      <c r="AC39" s="7"/>
    </row>
    <row r="40" hidden="1">
      <c r="A40" s="13"/>
      <c r="B40" s="26"/>
      <c r="C40" s="15"/>
      <c r="D40" s="16" t="s">
        <v>15</v>
      </c>
      <c r="E40" s="36">
        <f t="shared" ref="E40:S40" si="20">if(E39=$D39,1,0)</f>
        <v>1</v>
      </c>
      <c r="F40" s="36">
        <f t="shared" si="20"/>
        <v>0</v>
      </c>
      <c r="G40" s="36">
        <f t="shared" si="20"/>
        <v>1</v>
      </c>
      <c r="H40" s="36">
        <f t="shared" si="20"/>
        <v>0</v>
      </c>
      <c r="I40" s="36">
        <f t="shared" si="20"/>
        <v>0</v>
      </c>
      <c r="J40" s="36">
        <f t="shared" si="20"/>
        <v>1</v>
      </c>
      <c r="K40" s="36">
        <f t="shared" si="20"/>
        <v>0</v>
      </c>
      <c r="L40" s="36">
        <f t="shared" si="20"/>
        <v>0</v>
      </c>
      <c r="M40" s="36">
        <f t="shared" si="20"/>
        <v>0</v>
      </c>
      <c r="N40" s="37">
        <f t="shared" si="20"/>
        <v>0</v>
      </c>
      <c r="O40" s="36">
        <f t="shared" si="20"/>
        <v>0</v>
      </c>
      <c r="P40" s="36">
        <f t="shared" si="20"/>
        <v>1</v>
      </c>
      <c r="Q40" s="36">
        <f t="shared" si="20"/>
        <v>0</v>
      </c>
      <c r="R40" s="36">
        <f t="shared" si="20"/>
        <v>0</v>
      </c>
      <c r="S40" s="36">
        <f t="shared" si="20"/>
        <v>0</v>
      </c>
      <c r="T40" s="19"/>
      <c r="U40" s="19"/>
      <c r="V40" s="19"/>
      <c r="W40" s="19"/>
      <c r="X40" s="19"/>
      <c r="Y40" s="19"/>
      <c r="Z40" s="19"/>
      <c r="AA40" s="19"/>
      <c r="AB40" s="19"/>
      <c r="AC40" s="19"/>
    </row>
    <row r="41" ht="64.5" customHeight="1">
      <c r="A41" s="13">
        <v>20.0</v>
      </c>
      <c r="B41" s="14" t="s">
        <v>59</v>
      </c>
      <c r="C41" s="38" t="s">
        <v>60</v>
      </c>
      <c r="D41" s="39" t="s">
        <v>57</v>
      </c>
      <c r="E41" s="17" t="s">
        <v>61</v>
      </c>
      <c r="F41" s="17" t="s">
        <v>61</v>
      </c>
      <c r="G41" s="40" t="s">
        <v>57</v>
      </c>
      <c r="H41" s="41" t="s">
        <v>57</v>
      </c>
      <c r="I41" s="17" t="s">
        <v>61</v>
      </c>
      <c r="J41" s="41" t="s">
        <v>57</v>
      </c>
      <c r="K41" s="41" t="s">
        <v>57</v>
      </c>
      <c r="L41" s="42" t="s">
        <v>61</v>
      </c>
      <c r="M41" s="17" t="s">
        <v>62</v>
      </c>
      <c r="N41" s="17" t="s">
        <v>61</v>
      </c>
      <c r="O41" s="17" t="s">
        <v>61</v>
      </c>
      <c r="P41" s="17" t="s">
        <v>61</v>
      </c>
      <c r="Q41" s="17" t="s">
        <v>61</v>
      </c>
      <c r="R41" s="41" t="s">
        <v>57</v>
      </c>
      <c r="S41" s="17" t="s">
        <v>61</v>
      </c>
      <c r="T41" s="36"/>
      <c r="U41" s="36"/>
      <c r="V41" s="19"/>
      <c r="W41" s="19"/>
      <c r="X41" s="19"/>
      <c r="Y41" s="19"/>
      <c r="Z41" s="19"/>
      <c r="AA41" s="19"/>
      <c r="AB41" s="19"/>
      <c r="AC41" s="19"/>
    </row>
    <row r="42" hidden="1">
      <c r="A42" s="20"/>
      <c r="B42" s="21"/>
      <c r="C42" s="21"/>
      <c r="D42" s="23" t="s">
        <v>15</v>
      </c>
      <c r="E42" s="24">
        <f t="shared" ref="E42:S42" si="21">if(E41=$D41,1,0)</f>
        <v>0</v>
      </c>
      <c r="F42" s="24">
        <f t="shared" si="21"/>
        <v>0</v>
      </c>
      <c r="G42" s="24">
        <f t="shared" si="21"/>
        <v>1</v>
      </c>
      <c r="H42" s="24">
        <f t="shared" si="21"/>
        <v>1</v>
      </c>
      <c r="I42" s="24">
        <f t="shared" si="21"/>
        <v>0</v>
      </c>
      <c r="J42" s="25">
        <f t="shared" si="21"/>
        <v>1</v>
      </c>
      <c r="K42" s="24">
        <f t="shared" si="21"/>
        <v>1</v>
      </c>
      <c r="L42" s="24">
        <f t="shared" si="21"/>
        <v>0</v>
      </c>
      <c r="M42" s="24">
        <f t="shared" si="21"/>
        <v>0</v>
      </c>
      <c r="N42" s="24">
        <f t="shared" si="21"/>
        <v>0</v>
      </c>
      <c r="O42" s="24">
        <f t="shared" si="21"/>
        <v>0</v>
      </c>
      <c r="P42" s="24">
        <f t="shared" si="21"/>
        <v>0</v>
      </c>
      <c r="Q42" s="24">
        <f t="shared" si="21"/>
        <v>0</v>
      </c>
      <c r="R42" s="24">
        <f t="shared" si="21"/>
        <v>1</v>
      </c>
      <c r="S42" s="24">
        <f t="shared" si="21"/>
        <v>0</v>
      </c>
      <c r="T42" s="7"/>
      <c r="U42" s="7"/>
      <c r="V42" s="7"/>
      <c r="W42" s="7"/>
      <c r="X42" s="7"/>
      <c r="Y42" s="7"/>
      <c r="Z42" s="7"/>
      <c r="AA42" s="7"/>
      <c r="AB42" s="7"/>
      <c r="AC42" s="7"/>
    </row>
    <row r="43">
      <c r="A43" s="28">
        <v>21.0</v>
      </c>
      <c r="B43" s="33" t="s">
        <v>63</v>
      </c>
      <c r="C43" s="34" t="s">
        <v>64</v>
      </c>
      <c r="D43" s="31" t="s">
        <v>65</v>
      </c>
      <c r="E43" s="32" t="s">
        <v>61</v>
      </c>
      <c r="F43" s="43" t="s">
        <v>65</v>
      </c>
      <c r="G43" s="32" t="s">
        <v>44</v>
      </c>
      <c r="H43" s="43" t="s">
        <v>65</v>
      </c>
      <c r="I43" s="43" t="s">
        <v>65</v>
      </c>
      <c r="J43" s="43" t="s">
        <v>65</v>
      </c>
      <c r="K43" s="32" t="s">
        <v>66</v>
      </c>
      <c r="L43" s="32" t="s">
        <v>66</v>
      </c>
      <c r="M43" s="32" t="s">
        <v>66</v>
      </c>
      <c r="N43" s="32" t="s">
        <v>44</v>
      </c>
      <c r="O43" s="43" t="s">
        <v>65</v>
      </c>
      <c r="P43" s="32" t="s">
        <v>19</v>
      </c>
      <c r="Q43" s="32" t="s">
        <v>66</v>
      </c>
      <c r="R43" s="32" t="s">
        <v>19</v>
      </c>
      <c r="S43" s="43" t="s">
        <v>65</v>
      </c>
      <c r="T43" s="7"/>
      <c r="U43" s="7"/>
      <c r="V43" s="7"/>
      <c r="W43" s="7"/>
      <c r="X43" s="7"/>
      <c r="Y43" s="7"/>
      <c r="Z43" s="7"/>
      <c r="AA43" s="7"/>
      <c r="AB43" s="7"/>
      <c r="AC43" s="7"/>
    </row>
    <row r="44" hidden="1">
      <c r="A44" s="20"/>
      <c r="B44" s="21"/>
      <c r="C44" s="21"/>
      <c r="D44" s="23" t="s">
        <v>15</v>
      </c>
      <c r="E44" s="24">
        <f t="shared" ref="E44:S44" si="22">if(E43=$D43,1,0)</f>
        <v>0</v>
      </c>
      <c r="F44" s="24">
        <f t="shared" si="22"/>
        <v>1</v>
      </c>
      <c r="G44" s="24">
        <f t="shared" si="22"/>
        <v>0</v>
      </c>
      <c r="H44" s="24">
        <f t="shared" si="22"/>
        <v>1</v>
      </c>
      <c r="I44" s="24">
        <f t="shared" si="22"/>
        <v>1</v>
      </c>
      <c r="J44" s="25">
        <f t="shared" si="22"/>
        <v>1</v>
      </c>
      <c r="K44" s="24">
        <f t="shared" si="22"/>
        <v>0</v>
      </c>
      <c r="L44" s="24">
        <f t="shared" si="22"/>
        <v>0</v>
      </c>
      <c r="M44" s="24">
        <f t="shared" si="22"/>
        <v>0</v>
      </c>
      <c r="N44" s="24">
        <f t="shared" si="22"/>
        <v>0</v>
      </c>
      <c r="O44" s="24">
        <f t="shared" si="22"/>
        <v>1</v>
      </c>
      <c r="P44" s="24">
        <f t="shared" si="22"/>
        <v>0</v>
      </c>
      <c r="Q44" s="24">
        <f t="shared" si="22"/>
        <v>0</v>
      </c>
      <c r="R44" s="24">
        <f t="shared" si="22"/>
        <v>0</v>
      </c>
      <c r="S44" s="24">
        <f t="shared" si="22"/>
        <v>1</v>
      </c>
      <c r="T44" s="7"/>
      <c r="U44" s="7"/>
      <c r="V44" s="7"/>
      <c r="W44" s="7"/>
      <c r="X44" s="7"/>
      <c r="Y44" s="7"/>
      <c r="Z44" s="7"/>
      <c r="AA44" s="7"/>
      <c r="AB44" s="7"/>
      <c r="AC44" s="7"/>
    </row>
    <row r="45">
      <c r="A45" s="28">
        <v>22.0</v>
      </c>
      <c r="B45" s="33" t="s">
        <v>67</v>
      </c>
      <c r="C45" s="30" t="s">
        <v>18</v>
      </c>
      <c r="D45" s="31" t="s">
        <v>20</v>
      </c>
      <c r="E45" s="43" t="s">
        <v>20</v>
      </c>
      <c r="F45" s="32" t="s">
        <v>19</v>
      </c>
      <c r="G45" s="43" t="s">
        <v>20</v>
      </c>
      <c r="H45" s="43" t="s">
        <v>20</v>
      </c>
      <c r="I45" s="43" t="s">
        <v>20</v>
      </c>
      <c r="J45" s="32" t="s">
        <v>19</v>
      </c>
      <c r="K45" s="43" t="s">
        <v>20</v>
      </c>
      <c r="L45" s="43" t="s">
        <v>20</v>
      </c>
      <c r="M45" s="43" t="s">
        <v>20</v>
      </c>
      <c r="N45" s="43" t="s">
        <v>20</v>
      </c>
      <c r="O45" s="32" t="s">
        <v>19</v>
      </c>
      <c r="P45" s="32" t="s">
        <v>19</v>
      </c>
      <c r="Q45" s="32" t="s">
        <v>19</v>
      </c>
      <c r="R45" s="43" t="s">
        <v>20</v>
      </c>
      <c r="S45" s="32" t="s">
        <v>19</v>
      </c>
      <c r="T45" s="7"/>
      <c r="U45" s="7"/>
      <c r="V45" s="7"/>
      <c r="W45" s="7"/>
      <c r="X45" s="7"/>
      <c r="Y45" s="7"/>
      <c r="Z45" s="7"/>
      <c r="AA45" s="7"/>
      <c r="AB45" s="7"/>
      <c r="AC45" s="7"/>
    </row>
    <row r="46" hidden="1">
      <c r="A46" s="20"/>
      <c r="B46" s="21"/>
      <c r="C46" s="21"/>
      <c r="D46" s="23" t="s">
        <v>15</v>
      </c>
      <c r="E46" s="24">
        <f t="shared" ref="E46:S46" si="23">if(E45=$D45,1,0)</f>
        <v>1</v>
      </c>
      <c r="F46" s="24">
        <f t="shared" si="23"/>
        <v>0</v>
      </c>
      <c r="G46" s="24">
        <f t="shared" si="23"/>
        <v>1</v>
      </c>
      <c r="H46" s="24">
        <f t="shared" si="23"/>
        <v>1</v>
      </c>
      <c r="I46" s="24">
        <f t="shared" si="23"/>
        <v>1</v>
      </c>
      <c r="J46" s="25">
        <f t="shared" si="23"/>
        <v>0</v>
      </c>
      <c r="K46" s="24">
        <f t="shared" si="23"/>
        <v>1</v>
      </c>
      <c r="L46" s="24">
        <f t="shared" si="23"/>
        <v>1</v>
      </c>
      <c r="M46" s="24">
        <f t="shared" si="23"/>
        <v>1</v>
      </c>
      <c r="N46" s="24">
        <f t="shared" si="23"/>
        <v>1</v>
      </c>
      <c r="O46" s="24">
        <f t="shared" si="23"/>
        <v>0</v>
      </c>
      <c r="P46" s="24">
        <f t="shared" si="23"/>
        <v>0</v>
      </c>
      <c r="Q46" s="24">
        <f t="shared" si="23"/>
        <v>0</v>
      </c>
      <c r="R46" s="24">
        <f t="shared" si="23"/>
        <v>1</v>
      </c>
      <c r="S46" s="24">
        <f t="shared" si="23"/>
        <v>0</v>
      </c>
      <c r="T46" s="7"/>
      <c r="U46" s="7"/>
      <c r="V46" s="7"/>
      <c r="W46" s="7"/>
      <c r="X46" s="7"/>
      <c r="Y46" s="7"/>
      <c r="Z46" s="7"/>
      <c r="AA46" s="7"/>
      <c r="AB46" s="7"/>
      <c r="AC46" s="7"/>
    </row>
    <row r="47">
      <c r="A47" s="28">
        <v>22.0</v>
      </c>
      <c r="B47" s="29" t="s">
        <v>68</v>
      </c>
      <c r="C47" s="21"/>
      <c r="D47" s="31" t="s">
        <v>69</v>
      </c>
      <c r="E47" s="32">
        <v>46.0</v>
      </c>
      <c r="F47" s="32">
        <v>65.0</v>
      </c>
      <c r="G47" s="32">
        <v>51.0</v>
      </c>
      <c r="H47" s="32">
        <v>45.0</v>
      </c>
      <c r="I47" s="32">
        <v>43.0</v>
      </c>
      <c r="J47" s="32">
        <v>45.0</v>
      </c>
      <c r="K47" s="32">
        <v>57.0</v>
      </c>
      <c r="L47" s="32">
        <v>66.0</v>
      </c>
      <c r="M47" s="32">
        <v>48.0</v>
      </c>
      <c r="N47" s="32">
        <v>51.0</v>
      </c>
      <c r="O47" s="32">
        <v>52.0</v>
      </c>
      <c r="P47" s="32">
        <v>67.0</v>
      </c>
      <c r="Q47" s="32">
        <v>46.0</v>
      </c>
      <c r="R47" s="32">
        <v>52.0</v>
      </c>
      <c r="S47" s="32">
        <v>54.0</v>
      </c>
      <c r="T47" s="7"/>
      <c r="U47" s="7"/>
      <c r="V47" s="7"/>
      <c r="W47" s="7"/>
      <c r="X47" s="7"/>
      <c r="Y47" s="7"/>
      <c r="Z47" s="7"/>
      <c r="AA47" s="7"/>
      <c r="AB47" s="7"/>
      <c r="AC47" s="7"/>
    </row>
    <row r="48" hidden="1">
      <c r="A48" s="20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7"/>
      <c r="U48" s="7"/>
      <c r="V48" s="7"/>
      <c r="W48" s="7"/>
      <c r="X48" s="7"/>
      <c r="Y48" s="7"/>
      <c r="Z48" s="7"/>
      <c r="AA48" s="7"/>
      <c r="AB48" s="7"/>
      <c r="AC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</row>
  </sheetData>
  <mergeCells count="1">
    <mergeCell ref="A1:D1"/>
  </mergeCells>
  <conditionalFormatting sqref="B2">
    <cfRule type="expression" dxfId="0" priority="1">
      <formula>RegExMatch((#REF!),"Done")</formula>
    </cfRule>
  </conditionalFormatting>
  <conditionalFormatting sqref="A2:A52 C41">
    <cfRule type="expression" dxfId="0" priority="2">
      <formula>RegExMatch(($D2),"Done")</formula>
    </cfRule>
  </conditionalFormatting>
  <conditionalFormatting sqref="C3 C5 C7 C11 C13 C15 C21 C29 C40:C41 E41:G41">
    <cfRule type="notContainsBlanks" dxfId="1" priority="3">
      <formula>LEN(TRIM(C3))&gt;0</formula>
    </cfRule>
  </conditionalFormatting>
  <conditionalFormatting sqref="E13:S13">
    <cfRule type="cellIs" dxfId="2" priority="4" operator="equal">
      <formula>$D$5</formula>
    </cfRule>
  </conditionalFormatting>
  <conditionalFormatting sqref="E7:S7">
    <cfRule type="cellIs" dxfId="2" priority="5" operator="equal">
      <formula>$D$7</formula>
    </cfRule>
  </conditionalFormatting>
  <conditionalFormatting sqref="E9:S9">
    <cfRule type="cellIs" dxfId="2" priority="6" operator="equal">
      <formula>$D$9</formula>
    </cfRule>
  </conditionalFormatting>
  <conditionalFormatting sqref="E11:S11">
    <cfRule type="cellIs" dxfId="2" priority="7" operator="equal">
      <formula>$D$11</formula>
    </cfRule>
  </conditionalFormatting>
  <conditionalFormatting sqref="E13:S13">
    <cfRule type="cellIs" dxfId="2" priority="8" operator="equal">
      <formula>$D$13</formula>
    </cfRule>
  </conditionalFormatting>
  <conditionalFormatting sqref="E15:S15 E21:S21 E40:S41">
    <cfRule type="cellIs" dxfId="2" priority="9" operator="equal">
      <formula>$D$15</formula>
    </cfRule>
  </conditionalFormatting>
  <conditionalFormatting sqref="E17:S17">
    <cfRule type="cellIs" dxfId="2" priority="10" operator="equal">
      <formula>$D$17</formula>
    </cfRule>
  </conditionalFormatting>
  <conditionalFormatting sqref="E19:S19">
    <cfRule type="cellIs" dxfId="2" priority="11" operator="equal">
      <formula>$D$19</formula>
    </cfRule>
  </conditionalFormatting>
  <conditionalFormatting sqref="E21:S21 E40:S41">
    <cfRule type="cellIs" dxfId="2" priority="12" operator="equal">
      <formula>$D$21</formula>
    </cfRule>
  </conditionalFormatting>
  <conditionalFormatting sqref="E23:S23">
    <cfRule type="cellIs" dxfId="2" priority="13" operator="equal">
      <formula>$D$23</formula>
    </cfRule>
  </conditionalFormatting>
  <conditionalFormatting sqref="E25:S25">
    <cfRule type="cellIs" dxfId="2" priority="14" operator="equal">
      <formula>$D$25</formula>
    </cfRule>
  </conditionalFormatting>
  <conditionalFormatting sqref="E27:S27">
    <cfRule type="cellIs" dxfId="2" priority="15" operator="equal">
      <formula>$D$27</formula>
    </cfRule>
  </conditionalFormatting>
  <conditionalFormatting sqref="E29:S29 G41:U41">
    <cfRule type="cellIs" dxfId="2" priority="16" operator="equal">
      <formula>$D$29</formula>
    </cfRule>
  </conditionalFormatting>
  <conditionalFormatting sqref="E31:S31">
    <cfRule type="cellIs" dxfId="2" priority="17" operator="equal">
      <formula>$D$31</formula>
    </cfRule>
  </conditionalFormatting>
  <conditionalFormatting sqref="E33:S33">
    <cfRule type="cellIs" dxfId="2" priority="18" operator="equal">
      <formula>$D$33</formula>
    </cfRule>
  </conditionalFormatting>
  <conditionalFormatting sqref="E35:S35">
    <cfRule type="cellIs" dxfId="2" priority="19" operator="equal">
      <formula>$D$35</formula>
    </cfRule>
  </conditionalFormatting>
  <conditionalFormatting sqref="E37:S37 G41">
    <cfRule type="cellIs" dxfId="2" priority="20" operator="equal">
      <formula>$D$37</formula>
    </cfRule>
  </conditionalFormatting>
  <conditionalFormatting sqref="E39:S41 E43:S45">
    <cfRule type="cellIs" dxfId="2" priority="21" operator="equal">
      <formula>$D$39</formula>
    </cfRule>
  </conditionalFormatting>
  <conditionalFormatting sqref="E40:S41">
    <cfRule type="expression" dxfId="3" priority="22">
      <formula>D40</formula>
    </cfRule>
  </conditionalFormatting>
  <conditionalFormatting sqref="E11:S11">
    <cfRule type="cellIs" dxfId="3" priority="23" operator="equal">
      <formula>"$D$11"</formula>
    </cfRule>
  </conditionalFormatting>
  <conditionalFormatting sqref="E3:S3">
    <cfRule type="cellIs" dxfId="4" priority="24" operator="equal">
      <formula>$D$3</formula>
    </cfRule>
  </conditionalFormatting>
  <conditionalFormatting sqref="E5:S5">
    <cfRule type="cellIs" dxfId="4" priority="25" operator="equal">
      <formula>$D$5</formula>
    </cfRule>
  </conditionalFormatting>
  <conditionalFormatting sqref="E41:S41">
    <cfRule type="cellIs" dxfId="5" priority="26" operator="equal">
      <formula>$D$41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2.0" topLeftCell="E3" activePane="bottomRight" state="frozen"/>
      <selection activeCell="E1" sqref="E1" pane="topRight"/>
      <selection activeCell="A3" sqref="A3" pane="bottomLeft"/>
      <selection activeCell="E3" sqref="E3" pane="bottomRight"/>
    </sheetView>
  </sheetViews>
  <sheetFormatPr customHeight="1" defaultColWidth="12.63" defaultRowHeight="15.75"/>
  <cols>
    <col hidden="1" min="5" max="5" width="12.63"/>
  </cols>
  <sheetData>
    <row r="1">
      <c r="A1" s="1"/>
      <c r="B1" s="2"/>
      <c r="C1" s="2"/>
      <c r="D1" s="2"/>
      <c r="E1" s="3" t="s">
        <v>0</v>
      </c>
      <c r="F1" s="4" t="s">
        <v>1</v>
      </c>
      <c r="G1" s="4" t="s">
        <v>2</v>
      </c>
      <c r="H1" s="4" t="s">
        <v>3</v>
      </c>
      <c r="I1" s="4" t="s">
        <v>4</v>
      </c>
      <c r="J1" s="4" t="s">
        <v>5</v>
      </c>
      <c r="K1" s="4" t="s">
        <v>6</v>
      </c>
      <c r="L1" s="4" t="s">
        <v>7</v>
      </c>
      <c r="M1" s="4" t="s">
        <v>8</v>
      </c>
      <c r="N1" s="4" t="s">
        <v>9</v>
      </c>
      <c r="O1" s="44" t="s">
        <v>10</v>
      </c>
      <c r="P1" s="4" t="s">
        <v>11</v>
      </c>
      <c r="Q1" s="4" t="s">
        <v>12</v>
      </c>
      <c r="R1" s="4" t="s">
        <v>14</v>
      </c>
      <c r="S1" s="7"/>
      <c r="T1" s="7"/>
      <c r="U1" s="7"/>
      <c r="V1" s="7"/>
      <c r="W1" s="7"/>
      <c r="X1" s="7"/>
      <c r="Y1" s="7"/>
      <c r="Z1" s="7"/>
      <c r="AA1" s="7"/>
      <c r="AB1" s="7"/>
    </row>
    <row r="2">
      <c r="A2" s="8" t="s">
        <v>15</v>
      </c>
      <c r="B2" s="9" t="s">
        <v>15</v>
      </c>
      <c r="C2" s="10" t="s">
        <v>15</v>
      </c>
      <c r="D2" s="11" t="s">
        <v>16</v>
      </c>
      <c r="E2" s="12">
        <f t="shared" ref="E2:R2" si="1">E4+E6+E8+E10+E12+E14+E16+E18+E20+E22+E24+E26+E28+E30+E32+E34+E36+E38+E40+E42+E44+E46</f>
        <v>5</v>
      </c>
      <c r="F2" s="12">
        <f t="shared" si="1"/>
        <v>10</v>
      </c>
      <c r="G2" s="12">
        <f t="shared" si="1"/>
        <v>11</v>
      </c>
      <c r="H2" s="12">
        <f t="shared" si="1"/>
        <v>5</v>
      </c>
      <c r="I2" s="12">
        <f t="shared" si="1"/>
        <v>11</v>
      </c>
      <c r="J2" s="12">
        <f t="shared" si="1"/>
        <v>6</v>
      </c>
      <c r="K2" s="12">
        <f t="shared" si="1"/>
        <v>7</v>
      </c>
      <c r="L2" s="12">
        <f t="shared" si="1"/>
        <v>9</v>
      </c>
      <c r="M2" s="12">
        <f t="shared" si="1"/>
        <v>12</v>
      </c>
      <c r="N2" s="12">
        <f t="shared" si="1"/>
        <v>13</v>
      </c>
      <c r="O2" s="12">
        <f t="shared" si="1"/>
        <v>13</v>
      </c>
      <c r="P2" s="12">
        <f t="shared" si="1"/>
        <v>13</v>
      </c>
      <c r="Q2" s="12">
        <f t="shared" si="1"/>
        <v>13</v>
      </c>
      <c r="R2" s="12">
        <f t="shared" si="1"/>
        <v>12</v>
      </c>
      <c r="S2" s="7"/>
      <c r="T2" s="7"/>
      <c r="U2" s="7"/>
      <c r="V2" s="7"/>
      <c r="W2" s="7"/>
      <c r="X2" s="7"/>
      <c r="Y2" s="7"/>
      <c r="Z2" s="7"/>
      <c r="AA2" s="7"/>
      <c r="AB2" s="7"/>
    </row>
    <row r="3">
      <c r="A3" s="13">
        <v>1.0</v>
      </c>
      <c r="B3" s="26" t="s">
        <v>70</v>
      </c>
      <c r="C3" s="15" t="s">
        <v>18</v>
      </c>
      <c r="D3" s="16" t="s">
        <v>19</v>
      </c>
      <c r="E3" s="36" t="s">
        <v>20</v>
      </c>
      <c r="F3" s="36" t="s">
        <v>19</v>
      </c>
      <c r="G3" s="36" t="s">
        <v>19</v>
      </c>
      <c r="H3" s="36" t="s">
        <v>19</v>
      </c>
      <c r="I3" s="36" t="s">
        <v>19</v>
      </c>
      <c r="J3" s="45" t="s">
        <v>20</v>
      </c>
      <c r="K3" s="36" t="s">
        <v>19</v>
      </c>
      <c r="L3" s="36" t="s">
        <v>20</v>
      </c>
      <c r="M3" s="36" t="s">
        <v>19</v>
      </c>
      <c r="N3" s="37" t="s">
        <v>19</v>
      </c>
      <c r="O3" s="36" t="s">
        <v>19</v>
      </c>
      <c r="P3" s="36" t="s">
        <v>19</v>
      </c>
      <c r="Q3" s="36" t="s">
        <v>19</v>
      </c>
      <c r="R3" s="36" t="s">
        <v>20</v>
      </c>
      <c r="S3" s="19"/>
      <c r="T3" s="19"/>
      <c r="U3" s="19"/>
      <c r="V3" s="19"/>
      <c r="W3" s="19"/>
      <c r="X3" s="19"/>
      <c r="Y3" s="19"/>
      <c r="Z3" s="19"/>
      <c r="AA3" s="19"/>
      <c r="AB3" s="19"/>
    </row>
    <row r="4" hidden="1">
      <c r="A4" s="20"/>
      <c r="B4" s="21"/>
      <c r="C4" s="22"/>
      <c r="D4" s="23" t="s">
        <v>15</v>
      </c>
      <c r="E4" s="24">
        <f t="shared" ref="E4:R4" si="2">if(E3=$D$3,1,0)</f>
        <v>0</v>
      </c>
      <c r="F4" s="24">
        <f t="shared" si="2"/>
        <v>1</v>
      </c>
      <c r="G4" s="24">
        <f t="shared" si="2"/>
        <v>1</v>
      </c>
      <c r="H4" s="24">
        <f t="shared" si="2"/>
        <v>1</v>
      </c>
      <c r="I4" s="24">
        <f t="shared" si="2"/>
        <v>1</v>
      </c>
      <c r="J4" s="24">
        <f t="shared" si="2"/>
        <v>0</v>
      </c>
      <c r="K4" s="24">
        <f t="shared" si="2"/>
        <v>1</v>
      </c>
      <c r="L4" s="24">
        <f t="shared" si="2"/>
        <v>0</v>
      </c>
      <c r="M4" s="24">
        <f t="shared" si="2"/>
        <v>1</v>
      </c>
      <c r="N4" s="24">
        <f t="shared" si="2"/>
        <v>1</v>
      </c>
      <c r="O4" s="24">
        <f t="shared" si="2"/>
        <v>1</v>
      </c>
      <c r="P4" s="24">
        <f t="shared" si="2"/>
        <v>1</v>
      </c>
      <c r="Q4" s="24">
        <f t="shared" si="2"/>
        <v>1</v>
      </c>
      <c r="R4" s="24">
        <f t="shared" si="2"/>
        <v>0</v>
      </c>
      <c r="S4" s="7"/>
      <c r="T4" s="7"/>
      <c r="U4" s="7"/>
      <c r="V4" s="7"/>
      <c r="W4" s="7"/>
      <c r="X4" s="7"/>
      <c r="Y4" s="7"/>
      <c r="Z4" s="7"/>
      <c r="AA4" s="7"/>
      <c r="AB4" s="7"/>
    </row>
    <row r="5">
      <c r="A5" s="13">
        <v>2.0</v>
      </c>
      <c r="B5" s="26" t="s">
        <v>22</v>
      </c>
      <c r="C5" s="15" t="s">
        <v>23</v>
      </c>
      <c r="D5" s="16" t="s">
        <v>25</v>
      </c>
      <c r="E5" s="36" t="s">
        <v>25</v>
      </c>
      <c r="F5" s="36" t="s">
        <v>25</v>
      </c>
      <c r="G5" s="36" t="s">
        <v>25</v>
      </c>
      <c r="H5" s="36" t="s">
        <v>24</v>
      </c>
      <c r="I5" s="36" t="s">
        <v>24</v>
      </c>
      <c r="J5" s="45" t="s">
        <v>25</v>
      </c>
      <c r="K5" s="36" t="s">
        <v>24</v>
      </c>
      <c r="L5" s="36" t="s">
        <v>24</v>
      </c>
      <c r="M5" s="36" t="s">
        <v>24</v>
      </c>
      <c r="N5" s="37" t="s">
        <v>25</v>
      </c>
      <c r="O5" s="36" t="s">
        <v>25</v>
      </c>
      <c r="P5" s="36" t="s">
        <v>25</v>
      </c>
      <c r="Q5" s="36" t="s">
        <v>24</v>
      </c>
      <c r="R5" s="36" t="s">
        <v>24</v>
      </c>
      <c r="S5" s="19"/>
      <c r="T5" s="19"/>
      <c r="U5" s="19"/>
      <c r="V5" s="19"/>
      <c r="W5" s="19"/>
      <c r="X5" s="19"/>
      <c r="Y5" s="19"/>
      <c r="Z5" s="19"/>
      <c r="AA5" s="19"/>
      <c r="AB5" s="19"/>
    </row>
    <row r="6" hidden="1">
      <c r="A6" s="20"/>
      <c r="B6" s="21"/>
      <c r="C6" s="21"/>
      <c r="D6" s="23" t="s">
        <v>15</v>
      </c>
      <c r="E6" s="24">
        <f t="shared" ref="E6:R6" si="3">if(E5=$D$5,1,0)</f>
        <v>1</v>
      </c>
      <c r="F6" s="24">
        <f t="shared" si="3"/>
        <v>1</v>
      </c>
      <c r="G6" s="24">
        <f t="shared" si="3"/>
        <v>1</v>
      </c>
      <c r="H6" s="24">
        <f t="shared" si="3"/>
        <v>0</v>
      </c>
      <c r="I6" s="24">
        <f t="shared" si="3"/>
        <v>0</v>
      </c>
      <c r="J6" s="24">
        <f t="shared" si="3"/>
        <v>1</v>
      </c>
      <c r="K6" s="24">
        <f t="shared" si="3"/>
        <v>0</v>
      </c>
      <c r="L6" s="24">
        <f t="shared" si="3"/>
        <v>0</v>
      </c>
      <c r="M6" s="24">
        <f t="shared" si="3"/>
        <v>0</v>
      </c>
      <c r="N6" s="24">
        <f t="shared" si="3"/>
        <v>1</v>
      </c>
      <c r="O6" s="24">
        <f t="shared" si="3"/>
        <v>1</v>
      </c>
      <c r="P6" s="24">
        <f t="shared" si="3"/>
        <v>1</v>
      </c>
      <c r="Q6" s="24">
        <f t="shared" si="3"/>
        <v>0</v>
      </c>
      <c r="R6" s="24">
        <f t="shared" si="3"/>
        <v>0</v>
      </c>
      <c r="S6" s="7"/>
      <c r="T6" s="7"/>
      <c r="U6" s="7"/>
      <c r="V6" s="7"/>
      <c r="W6" s="7"/>
      <c r="X6" s="7"/>
      <c r="Y6" s="7"/>
      <c r="Z6" s="7"/>
      <c r="AA6" s="7"/>
      <c r="AB6" s="7"/>
    </row>
    <row r="7">
      <c r="A7" s="13">
        <v>3.0</v>
      </c>
      <c r="B7" s="26" t="s">
        <v>27</v>
      </c>
      <c r="C7" s="15" t="s">
        <v>71</v>
      </c>
      <c r="D7" s="16" t="s">
        <v>72</v>
      </c>
      <c r="E7" s="36" t="s">
        <v>30</v>
      </c>
      <c r="F7" s="36" t="s">
        <v>30</v>
      </c>
      <c r="G7" s="36" t="s">
        <v>72</v>
      </c>
      <c r="H7" s="36" t="s">
        <v>72</v>
      </c>
      <c r="I7" s="36" t="s">
        <v>30</v>
      </c>
      <c r="J7" s="45" t="s">
        <v>72</v>
      </c>
      <c r="K7" s="36" t="s">
        <v>30</v>
      </c>
      <c r="L7" s="36" t="s">
        <v>30</v>
      </c>
      <c r="M7" s="36" t="s">
        <v>31</v>
      </c>
      <c r="N7" s="37" t="s">
        <v>31</v>
      </c>
      <c r="O7" s="36" t="s">
        <v>72</v>
      </c>
      <c r="P7" s="36" t="s">
        <v>30</v>
      </c>
      <c r="Q7" s="36" t="s">
        <v>72</v>
      </c>
      <c r="R7" s="36" t="s">
        <v>72</v>
      </c>
      <c r="S7" s="19"/>
      <c r="T7" s="19"/>
      <c r="U7" s="19"/>
      <c r="V7" s="19"/>
      <c r="W7" s="19"/>
      <c r="X7" s="19"/>
      <c r="Y7" s="19"/>
      <c r="Z7" s="19"/>
      <c r="AA7" s="19"/>
      <c r="AB7" s="19"/>
    </row>
    <row r="8" hidden="1">
      <c r="A8" s="20"/>
      <c r="B8" s="21"/>
      <c r="C8" s="21"/>
      <c r="D8" s="23" t="s">
        <v>15</v>
      </c>
      <c r="E8" s="24">
        <f t="shared" ref="E8:R8" si="4">if(E7=$D$7,1,0)</f>
        <v>0</v>
      </c>
      <c r="F8" s="24">
        <f t="shared" si="4"/>
        <v>0</v>
      </c>
      <c r="G8" s="24">
        <f t="shared" si="4"/>
        <v>1</v>
      </c>
      <c r="H8" s="24">
        <f t="shared" si="4"/>
        <v>1</v>
      </c>
      <c r="I8" s="24">
        <f t="shared" si="4"/>
        <v>0</v>
      </c>
      <c r="J8" s="24">
        <f t="shared" si="4"/>
        <v>1</v>
      </c>
      <c r="K8" s="24">
        <f t="shared" si="4"/>
        <v>0</v>
      </c>
      <c r="L8" s="24">
        <f t="shared" si="4"/>
        <v>0</v>
      </c>
      <c r="M8" s="24">
        <f t="shared" si="4"/>
        <v>0</v>
      </c>
      <c r="N8" s="24">
        <f t="shared" si="4"/>
        <v>0</v>
      </c>
      <c r="O8" s="24">
        <f t="shared" si="4"/>
        <v>1</v>
      </c>
      <c r="P8" s="24">
        <f t="shared" si="4"/>
        <v>0</v>
      </c>
      <c r="Q8" s="24">
        <f t="shared" si="4"/>
        <v>1</v>
      </c>
      <c r="R8" s="24">
        <f t="shared" si="4"/>
        <v>1</v>
      </c>
      <c r="S8" s="7"/>
      <c r="T8" s="7"/>
      <c r="U8" s="7"/>
      <c r="V8" s="7"/>
      <c r="W8" s="7"/>
      <c r="X8" s="7"/>
      <c r="Y8" s="7"/>
      <c r="Z8" s="7"/>
      <c r="AA8" s="7"/>
      <c r="AB8" s="7"/>
    </row>
    <row r="9">
      <c r="A9" s="28">
        <v>4.0</v>
      </c>
      <c r="B9" s="29" t="s">
        <v>32</v>
      </c>
      <c r="C9" s="30" t="s">
        <v>33</v>
      </c>
      <c r="D9" s="31" t="s">
        <v>35</v>
      </c>
      <c r="E9" s="46" t="s">
        <v>34</v>
      </c>
      <c r="F9" s="46" t="s">
        <v>35</v>
      </c>
      <c r="G9" s="46" t="s">
        <v>35</v>
      </c>
      <c r="H9" s="46" t="s">
        <v>34</v>
      </c>
      <c r="I9" s="46" t="s">
        <v>34</v>
      </c>
      <c r="J9" s="47" t="s">
        <v>35</v>
      </c>
      <c r="K9" s="46" t="s">
        <v>35</v>
      </c>
      <c r="L9" s="46" t="s">
        <v>34</v>
      </c>
      <c r="M9" s="32" t="s">
        <v>35</v>
      </c>
      <c r="N9" s="32" t="s">
        <v>35</v>
      </c>
      <c r="O9" s="46" t="s">
        <v>34</v>
      </c>
      <c r="P9" s="46" t="s">
        <v>35</v>
      </c>
      <c r="Q9" s="46" t="s">
        <v>35</v>
      </c>
      <c r="R9" s="46" t="s">
        <v>34</v>
      </c>
      <c r="S9" s="7"/>
      <c r="T9" s="7"/>
      <c r="U9" s="7"/>
      <c r="V9" s="7"/>
      <c r="W9" s="7"/>
      <c r="X9" s="7"/>
      <c r="Y9" s="7"/>
      <c r="Z9" s="7"/>
      <c r="AA9" s="7"/>
      <c r="AB9" s="7"/>
    </row>
    <row r="10" hidden="1">
      <c r="A10" s="20"/>
      <c r="B10" s="21"/>
      <c r="C10" s="21"/>
      <c r="D10" s="23" t="s">
        <v>15</v>
      </c>
      <c r="E10" s="24">
        <f t="shared" ref="E10:R10" si="5">if(E9=$D9,1,0)</f>
        <v>0</v>
      </c>
      <c r="F10" s="24">
        <f t="shared" si="5"/>
        <v>1</v>
      </c>
      <c r="G10" s="24">
        <f t="shared" si="5"/>
        <v>1</v>
      </c>
      <c r="H10" s="24">
        <f t="shared" si="5"/>
        <v>0</v>
      </c>
      <c r="I10" s="24">
        <f t="shared" si="5"/>
        <v>0</v>
      </c>
      <c r="J10" s="24">
        <f t="shared" si="5"/>
        <v>1</v>
      </c>
      <c r="K10" s="24">
        <f t="shared" si="5"/>
        <v>1</v>
      </c>
      <c r="L10" s="24">
        <f t="shared" si="5"/>
        <v>0</v>
      </c>
      <c r="M10" s="24">
        <f t="shared" si="5"/>
        <v>1</v>
      </c>
      <c r="N10" s="24">
        <f t="shared" si="5"/>
        <v>1</v>
      </c>
      <c r="O10" s="24">
        <f t="shared" si="5"/>
        <v>0</v>
      </c>
      <c r="P10" s="24">
        <f t="shared" si="5"/>
        <v>1</v>
      </c>
      <c r="Q10" s="24">
        <f t="shared" si="5"/>
        <v>1</v>
      </c>
      <c r="R10" s="24">
        <f t="shared" si="5"/>
        <v>0</v>
      </c>
      <c r="S10" s="7"/>
      <c r="T10" s="7"/>
      <c r="U10" s="7"/>
      <c r="V10" s="7"/>
      <c r="W10" s="7"/>
      <c r="X10" s="7"/>
      <c r="Y10" s="7"/>
      <c r="Z10" s="7"/>
      <c r="AA10" s="7"/>
      <c r="AB10" s="7"/>
    </row>
    <row r="11">
      <c r="A11" s="13">
        <v>5.0</v>
      </c>
      <c r="B11" s="26" t="s">
        <v>37</v>
      </c>
      <c r="C11" s="15" t="s">
        <v>71</v>
      </c>
      <c r="D11" s="16" t="s">
        <v>72</v>
      </c>
      <c r="E11" s="36" t="s">
        <v>30</v>
      </c>
      <c r="F11" s="36" t="s">
        <v>30</v>
      </c>
      <c r="G11" s="36" t="s">
        <v>72</v>
      </c>
      <c r="H11" s="36" t="s">
        <v>30</v>
      </c>
      <c r="I11" s="36" t="s">
        <v>30</v>
      </c>
      <c r="J11" s="45" t="s">
        <v>30</v>
      </c>
      <c r="K11" s="36" t="s">
        <v>30</v>
      </c>
      <c r="L11" s="36" t="s">
        <v>30</v>
      </c>
      <c r="M11" s="36" t="s">
        <v>31</v>
      </c>
      <c r="N11" s="37" t="s">
        <v>31</v>
      </c>
      <c r="O11" s="36" t="s">
        <v>30</v>
      </c>
      <c r="P11" s="36" t="s">
        <v>30</v>
      </c>
      <c r="Q11" s="36" t="s">
        <v>30</v>
      </c>
      <c r="R11" s="36" t="s">
        <v>72</v>
      </c>
      <c r="S11" s="19"/>
      <c r="T11" s="19"/>
      <c r="U11" s="19"/>
      <c r="V11" s="19"/>
      <c r="W11" s="19"/>
      <c r="X11" s="19"/>
      <c r="Y11" s="19"/>
      <c r="Z11" s="19"/>
      <c r="AA11" s="19"/>
      <c r="AB11" s="19"/>
    </row>
    <row r="12" hidden="1">
      <c r="A12" s="20"/>
      <c r="B12" s="21"/>
      <c r="C12" s="21"/>
      <c r="D12" s="23" t="s">
        <v>15</v>
      </c>
      <c r="E12" s="24">
        <f t="shared" ref="E12:R12" si="6">if(E11=$D11,1,0)</f>
        <v>0</v>
      </c>
      <c r="F12" s="24">
        <f t="shared" si="6"/>
        <v>0</v>
      </c>
      <c r="G12" s="24">
        <f t="shared" si="6"/>
        <v>1</v>
      </c>
      <c r="H12" s="24">
        <f t="shared" si="6"/>
        <v>0</v>
      </c>
      <c r="I12" s="24">
        <f t="shared" si="6"/>
        <v>0</v>
      </c>
      <c r="J12" s="24">
        <f t="shared" si="6"/>
        <v>0</v>
      </c>
      <c r="K12" s="24">
        <f t="shared" si="6"/>
        <v>0</v>
      </c>
      <c r="L12" s="24">
        <f t="shared" si="6"/>
        <v>0</v>
      </c>
      <c r="M12" s="24">
        <f t="shared" si="6"/>
        <v>0</v>
      </c>
      <c r="N12" s="24">
        <f t="shared" si="6"/>
        <v>0</v>
      </c>
      <c r="O12" s="24">
        <f t="shared" si="6"/>
        <v>0</v>
      </c>
      <c r="P12" s="24">
        <f t="shared" si="6"/>
        <v>0</v>
      </c>
      <c r="Q12" s="24">
        <f t="shared" si="6"/>
        <v>0</v>
      </c>
      <c r="R12" s="24">
        <f t="shared" si="6"/>
        <v>1</v>
      </c>
      <c r="S12" s="7"/>
      <c r="T12" s="7"/>
      <c r="U12" s="7"/>
      <c r="V12" s="7"/>
      <c r="W12" s="7"/>
      <c r="X12" s="7"/>
      <c r="Y12" s="7"/>
      <c r="Z12" s="7"/>
      <c r="AA12" s="7"/>
      <c r="AB12" s="7"/>
    </row>
    <row r="13">
      <c r="A13" s="13">
        <v>6.0</v>
      </c>
      <c r="B13" s="26" t="s">
        <v>38</v>
      </c>
      <c r="C13" s="15" t="s">
        <v>71</v>
      </c>
      <c r="D13" s="16" t="s">
        <v>72</v>
      </c>
      <c r="E13" s="36" t="s">
        <v>30</v>
      </c>
      <c r="F13" s="36" t="s">
        <v>30</v>
      </c>
      <c r="G13" s="36" t="s">
        <v>30</v>
      </c>
      <c r="H13" s="36" t="s">
        <v>72</v>
      </c>
      <c r="I13" s="36" t="s">
        <v>72</v>
      </c>
      <c r="J13" s="45" t="s">
        <v>30</v>
      </c>
      <c r="K13" s="36" t="s">
        <v>72</v>
      </c>
      <c r="L13" s="36" t="s">
        <v>72</v>
      </c>
      <c r="M13" s="36" t="s">
        <v>31</v>
      </c>
      <c r="N13" s="37" t="s">
        <v>31</v>
      </c>
      <c r="O13" s="36" t="s">
        <v>72</v>
      </c>
      <c r="P13" s="36" t="s">
        <v>30</v>
      </c>
      <c r="Q13" s="36" t="s">
        <v>72</v>
      </c>
      <c r="R13" s="36" t="s">
        <v>30</v>
      </c>
      <c r="S13" s="19"/>
      <c r="T13" s="19"/>
      <c r="U13" s="19"/>
      <c r="V13" s="19"/>
      <c r="W13" s="19"/>
      <c r="X13" s="19"/>
      <c r="Y13" s="19"/>
      <c r="Z13" s="19"/>
      <c r="AA13" s="19"/>
      <c r="AB13" s="19"/>
    </row>
    <row r="14" hidden="1">
      <c r="A14" s="20"/>
      <c r="B14" s="21"/>
      <c r="C14" s="21"/>
      <c r="D14" s="23" t="s">
        <v>15</v>
      </c>
      <c r="E14" s="24">
        <f t="shared" ref="E14:R14" si="7">if(E13=$D13,1,0)</f>
        <v>0</v>
      </c>
      <c r="F14" s="24">
        <f t="shared" si="7"/>
        <v>0</v>
      </c>
      <c r="G14" s="24">
        <f t="shared" si="7"/>
        <v>0</v>
      </c>
      <c r="H14" s="24">
        <f t="shared" si="7"/>
        <v>1</v>
      </c>
      <c r="I14" s="24">
        <f t="shared" si="7"/>
        <v>1</v>
      </c>
      <c r="J14" s="24">
        <f t="shared" si="7"/>
        <v>0</v>
      </c>
      <c r="K14" s="24">
        <f t="shared" si="7"/>
        <v>1</v>
      </c>
      <c r="L14" s="24">
        <f t="shared" si="7"/>
        <v>1</v>
      </c>
      <c r="M14" s="24">
        <f t="shared" si="7"/>
        <v>0</v>
      </c>
      <c r="N14" s="24">
        <f t="shared" si="7"/>
        <v>0</v>
      </c>
      <c r="O14" s="24">
        <f t="shared" si="7"/>
        <v>1</v>
      </c>
      <c r="P14" s="24">
        <f t="shared" si="7"/>
        <v>0</v>
      </c>
      <c r="Q14" s="24">
        <f t="shared" si="7"/>
        <v>1</v>
      </c>
      <c r="R14" s="24">
        <f t="shared" si="7"/>
        <v>0</v>
      </c>
      <c r="S14" s="7"/>
      <c r="T14" s="7"/>
      <c r="U14" s="7"/>
      <c r="V14" s="7"/>
      <c r="W14" s="7"/>
      <c r="X14" s="7"/>
      <c r="Y14" s="7"/>
      <c r="Z14" s="7"/>
      <c r="AA14" s="7"/>
      <c r="AB14" s="7"/>
    </row>
    <row r="15">
      <c r="A15" s="13">
        <v>7.0</v>
      </c>
      <c r="B15" s="26" t="s">
        <v>39</v>
      </c>
      <c r="C15" s="15" t="s">
        <v>18</v>
      </c>
      <c r="D15" s="16" t="s">
        <v>19</v>
      </c>
      <c r="E15" s="36" t="s">
        <v>20</v>
      </c>
      <c r="F15" s="36" t="s">
        <v>20</v>
      </c>
      <c r="G15" s="36" t="s">
        <v>20</v>
      </c>
      <c r="H15" s="36" t="s">
        <v>20</v>
      </c>
      <c r="I15" s="36" t="s">
        <v>19</v>
      </c>
      <c r="J15" s="45" t="s">
        <v>20</v>
      </c>
      <c r="K15" s="36" t="s">
        <v>20</v>
      </c>
      <c r="L15" s="36" t="s">
        <v>19</v>
      </c>
      <c r="M15" s="36" t="s">
        <v>19</v>
      </c>
      <c r="N15" s="37" t="s">
        <v>19</v>
      </c>
      <c r="O15" s="36" t="s">
        <v>19</v>
      </c>
      <c r="P15" s="36" t="s">
        <v>19</v>
      </c>
      <c r="Q15" s="36" t="s">
        <v>19</v>
      </c>
      <c r="R15" s="36" t="s">
        <v>19</v>
      </c>
      <c r="S15" s="19"/>
      <c r="T15" s="19"/>
      <c r="U15" s="19"/>
      <c r="V15" s="19"/>
      <c r="W15" s="19"/>
      <c r="X15" s="19"/>
      <c r="Y15" s="19"/>
      <c r="Z15" s="19"/>
      <c r="AA15" s="19"/>
      <c r="AB15" s="19"/>
    </row>
    <row r="16" hidden="1">
      <c r="A16" s="20"/>
      <c r="B16" s="21"/>
      <c r="C16" s="21"/>
      <c r="D16" s="23" t="s">
        <v>15</v>
      </c>
      <c r="E16" s="24">
        <f t="shared" ref="E16:R16" si="8">if(E15=$D15,1,0)</f>
        <v>0</v>
      </c>
      <c r="F16" s="24">
        <f t="shared" si="8"/>
        <v>0</v>
      </c>
      <c r="G16" s="24">
        <f t="shared" si="8"/>
        <v>0</v>
      </c>
      <c r="H16" s="24">
        <f t="shared" si="8"/>
        <v>0</v>
      </c>
      <c r="I16" s="24">
        <f t="shared" si="8"/>
        <v>1</v>
      </c>
      <c r="J16" s="24">
        <f t="shared" si="8"/>
        <v>0</v>
      </c>
      <c r="K16" s="24">
        <f t="shared" si="8"/>
        <v>0</v>
      </c>
      <c r="L16" s="24">
        <f t="shared" si="8"/>
        <v>1</v>
      </c>
      <c r="M16" s="24">
        <f t="shared" si="8"/>
        <v>1</v>
      </c>
      <c r="N16" s="24">
        <f t="shared" si="8"/>
        <v>1</v>
      </c>
      <c r="O16" s="24">
        <f t="shared" si="8"/>
        <v>1</v>
      </c>
      <c r="P16" s="24">
        <f t="shared" si="8"/>
        <v>1</v>
      </c>
      <c r="Q16" s="24">
        <f t="shared" si="8"/>
        <v>1</v>
      </c>
      <c r="R16" s="24">
        <f t="shared" si="8"/>
        <v>1</v>
      </c>
      <c r="S16" s="7"/>
      <c r="T16" s="7"/>
      <c r="U16" s="7"/>
      <c r="V16" s="7"/>
      <c r="W16" s="7"/>
      <c r="X16" s="7"/>
      <c r="Y16" s="7"/>
      <c r="Z16" s="7"/>
      <c r="AA16" s="7"/>
      <c r="AB16" s="7"/>
    </row>
    <row r="17">
      <c r="A17" s="28">
        <v>8.0</v>
      </c>
      <c r="B17" s="29" t="s">
        <v>40</v>
      </c>
      <c r="C17" s="30" t="s">
        <v>18</v>
      </c>
      <c r="D17" s="31" t="s">
        <v>20</v>
      </c>
      <c r="E17" s="46" t="s">
        <v>19</v>
      </c>
      <c r="F17" s="46" t="s">
        <v>20</v>
      </c>
      <c r="G17" s="46" t="s">
        <v>20</v>
      </c>
      <c r="H17" s="46" t="s">
        <v>19</v>
      </c>
      <c r="I17" s="46" t="s">
        <v>19</v>
      </c>
      <c r="J17" s="47" t="s">
        <v>20</v>
      </c>
      <c r="K17" s="46" t="s">
        <v>20</v>
      </c>
      <c r="L17" s="46" t="s">
        <v>20</v>
      </c>
      <c r="M17" s="32" t="s">
        <v>20</v>
      </c>
      <c r="N17" s="32" t="s">
        <v>20</v>
      </c>
      <c r="O17" s="32" t="s">
        <v>20</v>
      </c>
      <c r="P17" s="46" t="s">
        <v>20</v>
      </c>
      <c r="Q17" s="46" t="s">
        <v>20</v>
      </c>
      <c r="R17" s="46" t="s">
        <v>20</v>
      </c>
      <c r="S17" s="7"/>
      <c r="T17" s="7"/>
      <c r="U17" s="7"/>
      <c r="V17" s="7"/>
      <c r="W17" s="7"/>
      <c r="X17" s="7"/>
      <c r="Y17" s="7"/>
      <c r="Z17" s="7"/>
      <c r="AA17" s="7"/>
      <c r="AB17" s="7"/>
    </row>
    <row r="18" hidden="1">
      <c r="A18" s="20"/>
      <c r="B18" s="21"/>
      <c r="C18" s="21"/>
      <c r="D18" s="23" t="s">
        <v>15</v>
      </c>
      <c r="E18" s="24">
        <f t="shared" ref="E18:R18" si="9">if(E17=$D17,1,0)</f>
        <v>0</v>
      </c>
      <c r="F18" s="24">
        <f t="shared" si="9"/>
        <v>1</v>
      </c>
      <c r="G18" s="24">
        <f t="shared" si="9"/>
        <v>1</v>
      </c>
      <c r="H18" s="24">
        <f t="shared" si="9"/>
        <v>0</v>
      </c>
      <c r="I18" s="24">
        <f t="shared" si="9"/>
        <v>0</v>
      </c>
      <c r="J18" s="24">
        <f t="shared" si="9"/>
        <v>1</v>
      </c>
      <c r="K18" s="24">
        <f t="shared" si="9"/>
        <v>1</v>
      </c>
      <c r="L18" s="24">
        <f t="shared" si="9"/>
        <v>1</v>
      </c>
      <c r="M18" s="24">
        <f t="shared" si="9"/>
        <v>1</v>
      </c>
      <c r="N18" s="24">
        <f t="shared" si="9"/>
        <v>1</v>
      </c>
      <c r="O18" s="24">
        <f t="shared" si="9"/>
        <v>1</v>
      </c>
      <c r="P18" s="24">
        <f t="shared" si="9"/>
        <v>1</v>
      </c>
      <c r="Q18" s="24">
        <f t="shared" si="9"/>
        <v>1</v>
      </c>
      <c r="R18" s="24">
        <f t="shared" si="9"/>
        <v>1</v>
      </c>
      <c r="S18" s="7"/>
      <c r="T18" s="7"/>
      <c r="U18" s="7"/>
      <c r="V18" s="7"/>
      <c r="W18" s="7"/>
      <c r="X18" s="7"/>
      <c r="Y18" s="7"/>
      <c r="Z18" s="7"/>
      <c r="AA18" s="7"/>
      <c r="AB18" s="7"/>
    </row>
    <row r="19">
      <c r="A19" s="28">
        <v>9.0</v>
      </c>
      <c r="B19" s="29" t="s">
        <v>41</v>
      </c>
      <c r="C19" s="30" t="s">
        <v>18</v>
      </c>
      <c r="D19" s="31" t="s">
        <v>20</v>
      </c>
      <c r="E19" s="46" t="s">
        <v>20</v>
      </c>
      <c r="F19" s="46" t="s">
        <v>19</v>
      </c>
      <c r="G19" s="46" t="s">
        <v>19</v>
      </c>
      <c r="H19" s="46" t="s">
        <v>19</v>
      </c>
      <c r="I19" s="46" t="s">
        <v>20</v>
      </c>
      <c r="J19" s="47" t="s">
        <v>19</v>
      </c>
      <c r="K19" s="46" t="s">
        <v>20</v>
      </c>
      <c r="L19" s="46" t="s">
        <v>19</v>
      </c>
      <c r="M19" s="32" t="s">
        <v>20</v>
      </c>
      <c r="N19" s="32" t="s">
        <v>20</v>
      </c>
      <c r="O19" s="46" t="s">
        <v>19</v>
      </c>
      <c r="P19" s="46" t="s">
        <v>20</v>
      </c>
      <c r="Q19" s="46" t="s">
        <v>19</v>
      </c>
      <c r="R19" s="46" t="s">
        <v>20</v>
      </c>
      <c r="S19" s="7"/>
      <c r="T19" s="7"/>
      <c r="U19" s="7"/>
      <c r="V19" s="7"/>
      <c r="W19" s="7"/>
      <c r="X19" s="7"/>
      <c r="Y19" s="7"/>
      <c r="Z19" s="7"/>
      <c r="AA19" s="7"/>
      <c r="AB19" s="7"/>
    </row>
    <row r="20" hidden="1">
      <c r="A20" s="20"/>
      <c r="B20" s="21"/>
      <c r="C20" s="21"/>
      <c r="D20" s="23" t="s">
        <v>15</v>
      </c>
      <c r="E20" s="24">
        <f t="shared" ref="E20:R20" si="10">if(E19=$D19,1,0)</f>
        <v>1</v>
      </c>
      <c r="F20" s="24">
        <f t="shared" si="10"/>
        <v>0</v>
      </c>
      <c r="G20" s="24">
        <f t="shared" si="10"/>
        <v>0</v>
      </c>
      <c r="H20" s="24">
        <f t="shared" si="10"/>
        <v>0</v>
      </c>
      <c r="I20" s="24">
        <f t="shared" si="10"/>
        <v>1</v>
      </c>
      <c r="J20" s="24">
        <f t="shared" si="10"/>
        <v>0</v>
      </c>
      <c r="K20" s="24">
        <f t="shared" si="10"/>
        <v>1</v>
      </c>
      <c r="L20" s="24">
        <f t="shared" si="10"/>
        <v>0</v>
      </c>
      <c r="M20" s="24">
        <f t="shared" si="10"/>
        <v>1</v>
      </c>
      <c r="N20" s="24">
        <f t="shared" si="10"/>
        <v>1</v>
      </c>
      <c r="O20" s="24">
        <f t="shared" si="10"/>
        <v>0</v>
      </c>
      <c r="P20" s="24">
        <f t="shared" si="10"/>
        <v>1</v>
      </c>
      <c r="Q20" s="24">
        <f t="shared" si="10"/>
        <v>0</v>
      </c>
      <c r="R20" s="24">
        <f t="shared" si="10"/>
        <v>1</v>
      </c>
      <c r="S20" s="7"/>
      <c r="T20" s="7"/>
      <c r="U20" s="7"/>
      <c r="V20" s="7"/>
      <c r="W20" s="7"/>
      <c r="X20" s="7"/>
      <c r="Y20" s="7"/>
      <c r="Z20" s="7"/>
      <c r="AA20" s="7"/>
      <c r="AB20" s="7"/>
    </row>
    <row r="21">
      <c r="A21" s="13">
        <v>10.0</v>
      </c>
      <c r="B21" s="26" t="s">
        <v>73</v>
      </c>
      <c r="C21" s="15" t="s">
        <v>74</v>
      </c>
      <c r="D21" s="16" t="s">
        <v>75</v>
      </c>
      <c r="E21" s="36" t="s">
        <v>76</v>
      </c>
      <c r="F21" s="36" t="s">
        <v>75</v>
      </c>
      <c r="G21" s="36" t="s">
        <v>75</v>
      </c>
      <c r="H21" s="36" t="s">
        <v>76</v>
      </c>
      <c r="I21" s="36" t="s">
        <v>76</v>
      </c>
      <c r="J21" s="45" t="s">
        <v>76</v>
      </c>
      <c r="K21" s="36" t="s">
        <v>76</v>
      </c>
      <c r="L21" s="36" t="s">
        <v>76</v>
      </c>
      <c r="M21" s="36" t="s">
        <v>75</v>
      </c>
      <c r="N21" s="37" t="s">
        <v>77</v>
      </c>
      <c r="O21" s="36" t="s">
        <v>75</v>
      </c>
      <c r="P21" s="36" t="s">
        <v>75</v>
      </c>
      <c r="Q21" s="36" t="s">
        <v>75</v>
      </c>
      <c r="R21" s="36" t="s">
        <v>76</v>
      </c>
      <c r="S21" s="19"/>
      <c r="T21" s="19"/>
      <c r="U21" s="19"/>
      <c r="V21" s="19"/>
      <c r="W21" s="19"/>
      <c r="X21" s="19"/>
      <c r="Y21" s="19"/>
      <c r="Z21" s="19"/>
      <c r="AA21" s="19"/>
      <c r="AB21" s="19"/>
    </row>
    <row r="22" hidden="1">
      <c r="A22" s="20"/>
      <c r="B22" s="21"/>
      <c r="C22" s="21"/>
      <c r="D22" s="23" t="s">
        <v>15</v>
      </c>
      <c r="E22" s="24">
        <f t="shared" ref="E22:R22" si="11">if(E21=$D21,1,0)</f>
        <v>0</v>
      </c>
      <c r="F22" s="24">
        <f t="shared" si="11"/>
        <v>1</v>
      </c>
      <c r="G22" s="24">
        <f t="shared" si="11"/>
        <v>1</v>
      </c>
      <c r="H22" s="24">
        <f t="shared" si="11"/>
        <v>0</v>
      </c>
      <c r="I22" s="24">
        <f t="shared" si="11"/>
        <v>0</v>
      </c>
      <c r="J22" s="24">
        <f t="shared" si="11"/>
        <v>0</v>
      </c>
      <c r="K22" s="24">
        <f t="shared" si="11"/>
        <v>0</v>
      </c>
      <c r="L22" s="24">
        <f t="shared" si="11"/>
        <v>0</v>
      </c>
      <c r="M22" s="24">
        <f t="shared" si="11"/>
        <v>1</v>
      </c>
      <c r="N22" s="24">
        <f t="shared" si="11"/>
        <v>0</v>
      </c>
      <c r="O22" s="24">
        <f t="shared" si="11"/>
        <v>1</v>
      </c>
      <c r="P22" s="24">
        <f t="shared" si="11"/>
        <v>1</v>
      </c>
      <c r="Q22" s="24">
        <f t="shared" si="11"/>
        <v>1</v>
      </c>
      <c r="R22" s="24">
        <f t="shared" si="11"/>
        <v>0</v>
      </c>
      <c r="S22" s="7"/>
      <c r="T22" s="7"/>
      <c r="U22" s="7"/>
      <c r="V22" s="7"/>
      <c r="W22" s="7"/>
      <c r="X22" s="7"/>
      <c r="Y22" s="7"/>
      <c r="Z22" s="7"/>
      <c r="AA22" s="7"/>
      <c r="AB22" s="7"/>
    </row>
    <row r="23">
      <c r="A23" s="28">
        <v>11.0</v>
      </c>
      <c r="B23" s="29" t="s">
        <v>78</v>
      </c>
      <c r="C23" s="30" t="s">
        <v>18</v>
      </c>
      <c r="D23" s="31" t="s">
        <v>20</v>
      </c>
      <c r="E23" s="46" t="s">
        <v>20</v>
      </c>
      <c r="F23" s="46" t="s">
        <v>19</v>
      </c>
      <c r="G23" s="46" t="s">
        <v>19</v>
      </c>
      <c r="H23" s="46" t="s">
        <v>20</v>
      </c>
      <c r="I23" s="46" t="s">
        <v>20</v>
      </c>
      <c r="J23" s="47" t="s">
        <v>19</v>
      </c>
      <c r="K23" s="32" t="s">
        <v>19</v>
      </c>
      <c r="L23" s="32" t="s">
        <v>19</v>
      </c>
      <c r="M23" s="32" t="s">
        <v>20</v>
      </c>
      <c r="N23" s="32" t="s">
        <v>20</v>
      </c>
      <c r="O23" s="46" t="s">
        <v>19</v>
      </c>
      <c r="P23" s="46" t="s">
        <v>20</v>
      </c>
      <c r="Q23" s="46" t="s">
        <v>19</v>
      </c>
      <c r="R23" s="46" t="s">
        <v>19</v>
      </c>
      <c r="S23" s="7"/>
      <c r="T23" s="7"/>
      <c r="U23" s="7"/>
      <c r="V23" s="7"/>
      <c r="W23" s="7"/>
      <c r="X23" s="7"/>
      <c r="Y23" s="7"/>
      <c r="Z23" s="7"/>
      <c r="AA23" s="7"/>
      <c r="AB23" s="7"/>
    </row>
    <row r="24" hidden="1">
      <c r="A24" s="20"/>
      <c r="B24" s="21"/>
      <c r="C24" s="21"/>
      <c r="D24" s="23" t="s">
        <v>15</v>
      </c>
      <c r="E24" s="24">
        <f t="shared" ref="E24:R24" si="12">if(E23=$D23,1,0)</f>
        <v>1</v>
      </c>
      <c r="F24" s="24">
        <f t="shared" si="12"/>
        <v>0</v>
      </c>
      <c r="G24" s="24">
        <f t="shared" si="12"/>
        <v>0</v>
      </c>
      <c r="H24" s="24">
        <f t="shared" si="12"/>
        <v>1</v>
      </c>
      <c r="I24" s="24">
        <f t="shared" si="12"/>
        <v>1</v>
      </c>
      <c r="J24" s="24">
        <f t="shared" si="12"/>
        <v>0</v>
      </c>
      <c r="K24" s="24">
        <f t="shared" si="12"/>
        <v>0</v>
      </c>
      <c r="L24" s="24">
        <f t="shared" si="12"/>
        <v>0</v>
      </c>
      <c r="M24" s="24">
        <f t="shared" si="12"/>
        <v>1</v>
      </c>
      <c r="N24" s="24">
        <f t="shared" si="12"/>
        <v>1</v>
      </c>
      <c r="O24" s="24">
        <f t="shared" si="12"/>
        <v>0</v>
      </c>
      <c r="P24" s="24">
        <f t="shared" si="12"/>
        <v>1</v>
      </c>
      <c r="Q24" s="24">
        <f t="shared" si="12"/>
        <v>0</v>
      </c>
      <c r="R24" s="24">
        <f t="shared" si="12"/>
        <v>0</v>
      </c>
      <c r="S24" s="7"/>
      <c r="T24" s="7"/>
      <c r="U24" s="7"/>
      <c r="V24" s="7"/>
      <c r="W24" s="7"/>
      <c r="X24" s="7"/>
      <c r="Y24" s="7"/>
      <c r="Z24" s="7"/>
      <c r="AA24" s="7"/>
      <c r="AB24" s="7"/>
    </row>
    <row r="25">
      <c r="A25" s="28">
        <v>12.0</v>
      </c>
      <c r="B25" s="29" t="s">
        <v>79</v>
      </c>
      <c r="C25" s="30" t="s">
        <v>18</v>
      </c>
      <c r="D25" s="31" t="s">
        <v>20</v>
      </c>
      <c r="E25" s="46" t="s">
        <v>19</v>
      </c>
      <c r="F25" s="46" t="s">
        <v>20</v>
      </c>
      <c r="G25" s="46" t="s">
        <v>19</v>
      </c>
      <c r="H25" s="46" t="s">
        <v>19</v>
      </c>
      <c r="I25" s="46" t="s">
        <v>20</v>
      </c>
      <c r="J25" s="47" t="s">
        <v>19</v>
      </c>
      <c r="K25" s="46" t="s">
        <v>19</v>
      </c>
      <c r="L25" s="46" t="s">
        <v>19</v>
      </c>
      <c r="M25" s="32" t="s">
        <v>20</v>
      </c>
      <c r="N25" s="32" t="s">
        <v>20</v>
      </c>
      <c r="O25" s="46" t="s">
        <v>19</v>
      </c>
      <c r="P25" s="46" t="s">
        <v>19</v>
      </c>
      <c r="Q25" s="46" t="s">
        <v>20</v>
      </c>
      <c r="R25" s="46" t="s">
        <v>19</v>
      </c>
      <c r="S25" s="7"/>
      <c r="T25" s="7"/>
      <c r="U25" s="7"/>
      <c r="V25" s="7"/>
      <c r="W25" s="7"/>
      <c r="X25" s="7"/>
      <c r="Y25" s="7"/>
      <c r="Z25" s="7"/>
      <c r="AA25" s="7"/>
      <c r="AB25" s="7"/>
    </row>
    <row r="26" hidden="1">
      <c r="A26" s="20"/>
      <c r="B26" s="21"/>
      <c r="C26" s="21"/>
      <c r="D26" s="21"/>
      <c r="E26" s="24">
        <f t="shared" ref="E26:R26" si="13">if(E25=$D25,1,0)</f>
        <v>0</v>
      </c>
      <c r="F26" s="24">
        <f t="shared" si="13"/>
        <v>1</v>
      </c>
      <c r="G26" s="24">
        <f t="shared" si="13"/>
        <v>0</v>
      </c>
      <c r="H26" s="24">
        <f t="shared" si="13"/>
        <v>0</v>
      </c>
      <c r="I26" s="24">
        <f t="shared" si="13"/>
        <v>1</v>
      </c>
      <c r="J26" s="24">
        <f t="shared" si="13"/>
        <v>0</v>
      </c>
      <c r="K26" s="24">
        <f t="shared" si="13"/>
        <v>0</v>
      </c>
      <c r="L26" s="24">
        <f t="shared" si="13"/>
        <v>0</v>
      </c>
      <c r="M26" s="24">
        <f t="shared" si="13"/>
        <v>1</v>
      </c>
      <c r="N26" s="24">
        <f t="shared" si="13"/>
        <v>1</v>
      </c>
      <c r="O26" s="24">
        <f t="shared" si="13"/>
        <v>0</v>
      </c>
      <c r="P26" s="24">
        <f t="shared" si="13"/>
        <v>0</v>
      </c>
      <c r="Q26" s="24">
        <f t="shared" si="13"/>
        <v>1</v>
      </c>
      <c r="R26" s="24">
        <f t="shared" si="13"/>
        <v>0</v>
      </c>
      <c r="S26" s="7"/>
      <c r="T26" s="7"/>
      <c r="U26" s="7"/>
      <c r="V26" s="7"/>
      <c r="W26" s="7"/>
      <c r="X26" s="7"/>
      <c r="Y26" s="7"/>
      <c r="Z26" s="7"/>
      <c r="AA26" s="7"/>
      <c r="AB26" s="7"/>
    </row>
    <row r="27">
      <c r="A27" s="28">
        <v>13.0</v>
      </c>
      <c r="B27" s="29" t="s">
        <v>80</v>
      </c>
      <c r="C27" s="30" t="s">
        <v>33</v>
      </c>
      <c r="D27" s="31" t="s">
        <v>35</v>
      </c>
      <c r="E27" s="46" t="s">
        <v>34</v>
      </c>
      <c r="F27" s="46" t="s">
        <v>34</v>
      </c>
      <c r="G27" s="46" t="s">
        <v>34</v>
      </c>
      <c r="H27" s="46" t="s">
        <v>34</v>
      </c>
      <c r="I27" s="46" t="s">
        <v>34</v>
      </c>
      <c r="J27" s="47" t="s">
        <v>34</v>
      </c>
      <c r="K27" s="46" t="s">
        <v>34</v>
      </c>
      <c r="L27" s="46" t="s">
        <v>34</v>
      </c>
      <c r="M27" s="46" t="s">
        <v>81</v>
      </c>
      <c r="N27" s="46" t="s">
        <v>81</v>
      </c>
      <c r="O27" s="46" t="s">
        <v>34</v>
      </c>
      <c r="P27" s="46" t="s">
        <v>34</v>
      </c>
      <c r="Q27" s="46" t="s">
        <v>35</v>
      </c>
      <c r="R27" s="32" t="s">
        <v>34</v>
      </c>
      <c r="S27" s="7"/>
      <c r="T27" s="7"/>
      <c r="U27" s="7"/>
      <c r="V27" s="7"/>
      <c r="W27" s="7"/>
      <c r="X27" s="7"/>
      <c r="Y27" s="7"/>
      <c r="Z27" s="7"/>
      <c r="AA27" s="7"/>
      <c r="AB27" s="7"/>
    </row>
    <row r="28" hidden="1">
      <c r="A28" s="20"/>
      <c r="B28" s="21"/>
      <c r="C28" s="21"/>
      <c r="D28" s="23" t="s">
        <v>15</v>
      </c>
      <c r="E28" s="24">
        <f t="shared" ref="E28:R28" si="14">if(E27=$D27,1,0)</f>
        <v>0</v>
      </c>
      <c r="F28" s="24">
        <f t="shared" si="14"/>
        <v>0</v>
      </c>
      <c r="G28" s="24">
        <f t="shared" si="14"/>
        <v>0</v>
      </c>
      <c r="H28" s="24">
        <f t="shared" si="14"/>
        <v>0</v>
      </c>
      <c r="I28" s="24">
        <f t="shared" si="14"/>
        <v>0</v>
      </c>
      <c r="J28" s="24">
        <f t="shared" si="14"/>
        <v>0</v>
      </c>
      <c r="K28" s="24">
        <f t="shared" si="14"/>
        <v>0</v>
      </c>
      <c r="L28" s="24">
        <f t="shared" si="14"/>
        <v>0</v>
      </c>
      <c r="M28" s="24">
        <f t="shared" si="14"/>
        <v>0</v>
      </c>
      <c r="N28" s="24">
        <f t="shared" si="14"/>
        <v>0</v>
      </c>
      <c r="O28" s="24">
        <f t="shared" si="14"/>
        <v>0</v>
      </c>
      <c r="P28" s="24">
        <f t="shared" si="14"/>
        <v>0</v>
      </c>
      <c r="Q28" s="24">
        <f t="shared" si="14"/>
        <v>1</v>
      </c>
      <c r="R28" s="24">
        <f t="shared" si="14"/>
        <v>0</v>
      </c>
      <c r="S28" s="7"/>
      <c r="T28" s="7"/>
      <c r="U28" s="7"/>
      <c r="V28" s="7"/>
      <c r="W28" s="7"/>
      <c r="X28" s="7"/>
      <c r="Y28" s="7"/>
      <c r="Z28" s="7"/>
      <c r="AA28" s="7"/>
      <c r="AB28" s="7"/>
    </row>
    <row r="29">
      <c r="A29" s="13">
        <v>14.0</v>
      </c>
      <c r="B29" s="26" t="s">
        <v>50</v>
      </c>
      <c r="C29" s="15" t="s">
        <v>18</v>
      </c>
      <c r="D29" s="16" t="s">
        <v>19</v>
      </c>
      <c r="E29" s="36" t="s">
        <v>19</v>
      </c>
      <c r="F29" s="36" t="s">
        <v>19</v>
      </c>
      <c r="G29" s="36" t="s">
        <v>19</v>
      </c>
      <c r="H29" s="36" t="s">
        <v>19</v>
      </c>
      <c r="I29" s="36" t="s">
        <v>19</v>
      </c>
      <c r="J29" s="45" t="s">
        <v>19</v>
      </c>
      <c r="K29" s="36" t="s">
        <v>19</v>
      </c>
      <c r="L29" s="36" t="s">
        <v>19</v>
      </c>
      <c r="M29" s="36" t="s">
        <v>21</v>
      </c>
      <c r="N29" s="37" t="s">
        <v>19</v>
      </c>
      <c r="O29" s="36" t="s">
        <v>19</v>
      </c>
      <c r="P29" s="36" t="s">
        <v>19</v>
      </c>
      <c r="Q29" s="36" t="s">
        <v>20</v>
      </c>
      <c r="R29" s="36" t="s">
        <v>19</v>
      </c>
      <c r="S29" s="19"/>
      <c r="T29" s="19"/>
      <c r="U29" s="19"/>
      <c r="V29" s="19"/>
      <c r="W29" s="19"/>
      <c r="X29" s="19"/>
      <c r="Y29" s="19"/>
      <c r="Z29" s="19"/>
      <c r="AA29" s="19"/>
      <c r="AB29" s="19"/>
    </row>
    <row r="30" hidden="1">
      <c r="A30" s="20"/>
      <c r="B30" s="21"/>
      <c r="C30" s="21"/>
      <c r="D30" s="23" t="s">
        <v>15</v>
      </c>
      <c r="E30" s="24">
        <f t="shared" ref="E30:R30" si="15">if(E29=$D29,1,0)</f>
        <v>1</v>
      </c>
      <c r="F30" s="24">
        <f t="shared" si="15"/>
        <v>1</v>
      </c>
      <c r="G30" s="24">
        <f t="shared" si="15"/>
        <v>1</v>
      </c>
      <c r="H30" s="24">
        <f t="shared" si="15"/>
        <v>1</v>
      </c>
      <c r="I30" s="24">
        <f t="shared" si="15"/>
        <v>1</v>
      </c>
      <c r="J30" s="24">
        <f t="shared" si="15"/>
        <v>1</v>
      </c>
      <c r="K30" s="24">
        <f t="shared" si="15"/>
        <v>1</v>
      </c>
      <c r="L30" s="24">
        <f t="shared" si="15"/>
        <v>1</v>
      </c>
      <c r="M30" s="24">
        <f t="shared" si="15"/>
        <v>0</v>
      </c>
      <c r="N30" s="24">
        <f t="shared" si="15"/>
        <v>1</v>
      </c>
      <c r="O30" s="24">
        <f t="shared" si="15"/>
        <v>1</v>
      </c>
      <c r="P30" s="24">
        <f t="shared" si="15"/>
        <v>1</v>
      </c>
      <c r="Q30" s="24">
        <f t="shared" si="15"/>
        <v>0</v>
      </c>
      <c r="R30" s="24">
        <f t="shared" si="15"/>
        <v>1</v>
      </c>
      <c r="S30" s="7"/>
      <c r="T30" s="7"/>
      <c r="U30" s="7"/>
      <c r="V30" s="7"/>
      <c r="W30" s="7"/>
      <c r="X30" s="7"/>
      <c r="Y30" s="7"/>
      <c r="Z30" s="7"/>
      <c r="AA30" s="7"/>
      <c r="AB30" s="7"/>
    </row>
    <row r="31">
      <c r="A31" s="28">
        <v>15.0</v>
      </c>
      <c r="B31" s="29" t="s">
        <v>82</v>
      </c>
      <c r="C31" s="30" t="s">
        <v>18</v>
      </c>
      <c r="D31" s="31" t="s">
        <v>20</v>
      </c>
      <c r="E31" s="46" t="s">
        <v>19</v>
      </c>
      <c r="F31" s="46" t="s">
        <v>20</v>
      </c>
      <c r="G31" s="46" t="s">
        <v>20</v>
      </c>
      <c r="H31" s="46" t="s">
        <v>19</v>
      </c>
      <c r="I31" s="46" t="s">
        <v>20</v>
      </c>
      <c r="J31" s="47" t="s">
        <v>19</v>
      </c>
      <c r="K31" s="46" t="s">
        <v>19</v>
      </c>
      <c r="L31" s="46" t="s">
        <v>20</v>
      </c>
      <c r="M31" s="32" t="s">
        <v>20</v>
      </c>
      <c r="N31" s="46" t="s">
        <v>51</v>
      </c>
      <c r="O31" s="46" t="s">
        <v>19</v>
      </c>
      <c r="P31" s="46" t="s">
        <v>20</v>
      </c>
      <c r="Q31" s="46" t="s">
        <v>19</v>
      </c>
      <c r="R31" s="46" t="s">
        <v>20</v>
      </c>
      <c r="S31" s="7"/>
      <c r="T31" s="7"/>
      <c r="U31" s="7"/>
      <c r="V31" s="7"/>
      <c r="W31" s="7"/>
      <c r="X31" s="7"/>
      <c r="Y31" s="7"/>
      <c r="Z31" s="7"/>
      <c r="AA31" s="7"/>
      <c r="AB31" s="7"/>
    </row>
    <row r="32" hidden="1">
      <c r="A32" s="20"/>
      <c r="B32" s="21"/>
      <c r="C32" s="21"/>
      <c r="D32" s="23" t="s">
        <v>15</v>
      </c>
      <c r="E32" s="25">
        <f t="shared" ref="E32:R32" si="16">if(E31=$D31,1,0)</f>
        <v>0</v>
      </c>
      <c r="F32" s="25">
        <f t="shared" si="16"/>
        <v>1</v>
      </c>
      <c r="G32" s="25">
        <f t="shared" si="16"/>
        <v>1</v>
      </c>
      <c r="H32" s="25">
        <f t="shared" si="16"/>
        <v>0</v>
      </c>
      <c r="I32" s="25">
        <f t="shared" si="16"/>
        <v>1</v>
      </c>
      <c r="J32" s="25">
        <f t="shared" si="16"/>
        <v>0</v>
      </c>
      <c r="K32" s="25">
        <f t="shared" si="16"/>
        <v>0</v>
      </c>
      <c r="L32" s="25">
        <f t="shared" si="16"/>
        <v>1</v>
      </c>
      <c r="M32" s="25">
        <f t="shared" si="16"/>
        <v>1</v>
      </c>
      <c r="N32" s="25">
        <f t="shared" si="16"/>
        <v>0</v>
      </c>
      <c r="O32" s="25">
        <f t="shared" si="16"/>
        <v>0</v>
      </c>
      <c r="P32" s="25">
        <f t="shared" si="16"/>
        <v>1</v>
      </c>
      <c r="Q32" s="25">
        <f t="shared" si="16"/>
        <v>0</v>
      </c>
      <c r="R32" s="25">
        <f t="shared" si="16"/>
        <v>1</v>
      </c>
      <c r="S32" s="7"/>
      <c r="T32" s="7"/>
      <c r="U32" s="7"/>
      <c r="V32" s="7"/>
      <c r="W32" s="7"/>
      <c r="X32" s="7"/>
      <c r="Y32" s="7"/>
      <c r="Z32" s="7"/>
      <c r="AA32" s="7"/>
      <c r="AB32" s="7"/>
    </row>
    <row r="33">
      <c r="A33" s="28">
        <v>16.0</v>
      </c>
      <c r="B33" s="29" t="s">
        <v>53</v>
      </c>
      <c r="C33" s="30" t="s">
        <v>33</v>
      </c>
      <c r="D33" s="31" t="s">
        <v>34</v>
      </c>
      <c r="E33" s="46" t="s">
        <v>35</v>
      </c>
      <c r="F33" s="46" t="s">
        <v>34</v>
      </c>
      <c r="G33" s="46" t="s">
        <v>35</v>
      </c>
      <c r="H33" s="46" t="s">
        <v>35</v>
      </c>
      <c r="I33" s="46" t="s">
        <v>34</v>
      </c>
      <c r="J33" s="47" t="s">
        <v>34</v>
      </c>
      <c r="K33" s="46" t="s">
        <v>35</v>
      </c>
      <c r="L33" s="46" t="s">
        <v>34</v>
      </c>
      <c r="M33" s="32" t="s">
        <v>34</v>
      </c>
      <c r="N33" s="32" t="s">
        <v>34</v>
      </c>
      <c r="O33" s="46" t="s">
        <v>35</v>
      </c>
      <c r="P33" s="46" t="s">
        <v>35</v>
      </c>
      <c r="Q33" s="46" t="s">
        <v>34</v>
      </c>
      <c r="R33" s="46" t="s">
        <v>34</v>
      </c>
      <c r="S33" s="7"/>
      <c r="T33" s="7"/>
      <c r="U33" s="7"/>
      <c r="V33" s="7"/>
      <c r="W33" s="7"/>
      <c r="X33" s="7"/>
      <c r="Y33" s="7"/>
      <c r="Z33" s="7"/>
      <c r="AA33" s="7"/>
      <c r="AB33" s="7"/>
    </row>
    <row r="34" hidden="1">
      <c r="A34" s="20"/>
      <c r="B34" s="21"/>
      <c r="C34" s="21"/>
      <c r="D34" s="23" t="s">
        <v>15</v>
      </c>
      <c r="E34" s="24">
        <f t="shared" ref="E34:R34" si="17">if(E33=$D33,1,0)</f>
        <v>0</v>
      </c>
      <c r="F34" s="24">
        <f t="shared" si="17"/>
        <v>1</v>
      </c>
      <c r="G34" s="24">
        <f t="shared" si="17"/>
        <v>0</v>
      </c>
      <c r="H34" s="24">
        <f t="shared" si="17"/>
        <v>0</v>
      </c>
      <c r="I34" s="24">
        <f t="shared" si="17"/>
        <v>1</v>
      </c>
      <c r="J34" s="24">
        <f t="shared" si="17"/>
        <v>1</v>
      </c>
      <c r="K34" s="24">
        <f t="shared" si="17"/>
        <v>0</v>
      </c>
      <c r="L34" s="24">
        <f t="shared" si="17"/>
        <v>1</v>
      </c>
      <c r="M34" s="24">
        <f t="shared" si="17"/>
        <v>1</v>
      </c>
      <c r="N34" s="24">
        <f t="shared" si="17"/>
        <v>1</v>
      </c>
      <c r="O34" s="24">
        <f t="shared" si="17"/>
        <v>0</v>
      </c>
      <c r="P34" s="24">
        <f t="shared" si="17"/>
        <v>0</v>
      </c>
      <c r="Q34" s="24">
        <f t="shared" si="17"/>
        <v>1</v>
      </c>
      <c r="R34" s="24">
        <f t="shared" si="17"/>
        <v>1</v>
      </c>
      <c r="S34" s="7"/>
      <c r="T34" s="7"/>
      <c r="U34" s="7"/>
      <c r="V34" s="7"/>
      <c r="W34" s="7"/>
      <c r="X34" s="7"/>
      <c r="Y34" s="7"/>
      <c r="Z34" s="7"/>
      <c r="AA34" s="7"/>
      <c r="AB34" s="7"/>
    </row>
    <row r="35">
      <c r="A35" s="28">
        <v>17.0</v>
      </c>
      <c r="B35" s="29" t="s">
        <v>54</v>
      </c>
      <c r="C35" s="30" t="s">
        <v>71</v>
      </c>
      <c r="D35" s="31" t="s">
        <v>30</v>
      </c>
      <c r="E35" s="46" t="s">
        <v>72</v>
      </c>
      <c r="F35" s="46" t="s">
        <v>72</v>
      </c>
      <c r="G35" s="46" t="s">
        <v>72</v>
      </c>
      <c r="H35" s="46" t="s">
        <v>72</v>
      </c>
      <c r="I35" s="46" t="s">
        <v>30</v>
      </c>
      <c r="J35" s="47" t="s">
        <v>72</v>
      </c>
      <c r="K35" s="46" t="s">
        <v>72</v>
      </c>
      <c r="L35" s="46" t="s">
        <v>72</v>
      </c>
      <c r="M35" s="46" t="s">
        <v>83</v>
      </c>
      <c r="N35" s="32" t="s">
        <v>30</v>
      </c>
      <c r="O35" s="46" t="s">
        <v>30</v>
      </c>
      <c r="P35" s="46" t="s">
        <v>72</v>
      </c>
      <c r="Q35" s="46" t="s">
        <v>30</v>
      </c>
      <c r="R35" s="46" t="s">
        <v>30</v>
      </c>
      <c r="S35" s="7"/>
      <c r="T35" s="7"/>
      <c r="U35" s="7"/>
      <c r="V35" s="7"/>
      <c r="W35" s="7"/>
      <c r="X35" s="7"/>
      <c r="Y35" s="7"/>
      <c r="Z35" s="7"/>
      <c r="AA35" s="7"/>
      <c r="AB35" s="7"/>
    </row>
    <row r="36" hidden="1">
      <c r="A36" s="20"/>
      <c r="B36" s="21"/>
      <c r="C36" s="21"/>
      <c r="D36" s="23" t="s">
        <v>15</v>
      </c>
      <c r="E36" s="24">
        <f t="shared" ref="E36:R36" si="18">if(E35=$D35,1,0)</f>
        <v>0</v>
      </c>
      <c r="F36" s="24">
        <f t="shared" si="18"/>
        <v>0</v>
      </c>
      <c r="G36" s="24">
        <f t="shared" si="18"/>
        <v>0</v>
      </c>
      <c r="H36" s="24">
        <f t="shared" si="18"/>
        <v>0</v>
      </c>
      <c r="I36" s="24">
        <f t="shared" si="18"/>
        <v>1</v>
      </c>
      <c r="J36" s="24">
        <f t="shared" si="18"/>
        <v>0</v>
      </c>
      <c r="K36" s="24">
        <f t="shared" si="18"/>
        <v>0</v>
      </c>
      <c r="L36" s="24">
        <f t="shared" si="18"/>
        <v>0</v>
      </c>
      <c r="M36" s="24">
        <f t="shared" si="18"/>
        <v>0</v>
      </c>
      <c r="N36" s="24">
        <f t="shared" si="18"/>
        <v>1</v>
      </c>
      <c r="O36" s="24">
        <f t="shared" si="18"/>
        <v>1</v>
      </c>
      <c r="P36" s="24">
        <f t="shared" si="18"/>
        <v>0</v>
      </c>
      <c r="Q36" s="24">
        <f t="shared" si="18"/>
        <v>1</v>
      </c>
      <c r="R36" s="24">
        <f t="shared" si="18"/>
        <v>1</v>
      </c>
      <c r="S36" s="7"/>
      <c r="T36" s="7"/>
      <c r="U36" s="7"/>
      <c r="V36" s="7"/>
      <c r="W36" s="7"/>
      <c r="X36" s="7"/>
      <c r="Y36" s="7"/>
      <c r="Z36" s="7"/>
      <c r="AA36" s="7"/>
      <c r="AB36" s="7"/>
    </row>
    <row r="37">
      <c r="A37" s="28">
        <v>18.0</v>
      </c>
      <c r="B37" s="29" t="s">
        <v>55</v>
      </c>
      <c r="C37" s="30" t="s">
        <v>56</v>
      </c>
      <c r="D37" s="31" t="s">
        <v>19</v>
      </c>
      <c r="E37" s="46" t="s">
        <v>57</v>
      </c>
      <c r="F37" s="46" t="s">
        <v>57</v>
      </c>
      <c r="G37" s="46" t="s">
        <v>19</v>
      </c>
      <c r="H37" s="46" t="s">
        <v>57</v>
      </c>
      <c r="I37" s="46" t="s">
        <v>19</v>
      </c>
      <c r="J37" s="47" t="s">
        <v>57</v>
      </c>
      <c r="K37" s="46" t="s">
        <v>57</v>
      </c>
      <c r="L37" s="46" t="s">
        <v>19</v>
      </c>
      <c r="M37" s="32" t="s">
        <v>19</v>
      </c>
      <c r="N37" s="32" t="s">
        <v>19</v>
      </c>
      <c r="O37" s="46" t="s">
        <v>19</v>
      </c>
      <c r="P37" s="46" t="s">
        <v>57</v>
      </c>
      <c r="Q37" s="46" t="s">
        <v>19</v>
      </c>
      <c r="R37" s="46" t="s">
        <v>19</v>
      </c>
      <c r="S37" s="7"/>
      <c r="T37" s="7"/>
      <c r="U37" s="7"/>
      <c r="V37" s="7"/>
      <c r="W37" s="7"/>
      <c r="X37" s="7"/>
      <c r="Y37" s="7"/>
      <c r="Z37" s="7"/>
      <c r="AA37" s="7"/>
      <c r="AB37" s="7"/>
    </row>
    <row r="38" hidden="1">
      <c r="A38" s="20"/>
      <c r="B38" s="21"/>
      <c r="C38" s="21"/>
      <c r="D38" s="23" t="s">
        <v>15</v>
      </c>
      <c r="E38" s="24">
        <f t="shared" ref="E38:R38" si="19">if(E37=$D37,1,0)</f>
        <v>0</v>
      </c>
      <c r="F38" s="24">
        <f t="shared" si="19"/>
        <v>0</v>
      </c>
      <c r="G38" s="24">
        <f t="shared" si="19"/>
        <v>1</v>
      </c>
      <c r="H38" s="24">
        <f t="shared" si="19"/>
        <v>0</v>
      </c>
      <c r="I38" s="24">
        <f t="shared" si="19"/>
        <v>1</v>
      </c>
      <c r="J38" s="24">
        <f t="shared" si="19"/>
        <v>0</v>
      </c>
      <c r="K38" s="24">
        <f t="shared" si="19"/>
        <v>0</v>
      </c>
      <c r="L38" s="24">
        <f t="shared" si="19"/>
        <v>1</v>
      </c>
      <c r="M38" s="24">
        <f t="shared" si="19"/>
        <v>1</v>
      </c>
      <c r="N38" s="24">
        <f t="shared" si="19"/>
        <v>1</v>
      </c>
      <c r="O38" s="24">
        <f t="shared" si="19"/>
        <v>1</v>
      </c>
      <c r="P38" s="24">
        <f t="shared" si="19"/>
        <v>0</v>
      </c>
      <c r="Q38" s="24">
        <f t="shared" si="19"/>
        <v>1</v>
      </c>
      <c r="R38" s="24">
        <f t="shared" si="19"/>
        <v>1</v>
      </c>
      <c r="S38" s="7"/>
      <c r="T38" s="7"/>
      <c r="U38" s="7"/>
      <c r="V38" s="7"/>
      <c r="W38" s="7"/>
      <c r="X38" s="7"/>
      <c r="Y38" s="7"/>
      <c r="Z38" s="7"/>
      <c r="AA38" s="7"/>
      <c r="AB38" s="7"/>
    </row>
    <row r="39">
      <c r="A39" s="28">
        <v>19.0</v>
      </c>
      <c r="B39" s="29" t="s">
        <v>58</v>
      </c>
      <c r="C39" s="30" t="s">
        <v>71</v>
      </c>
      <c r="D39" s="31" t="s">
        <v>30</v>
      </c>
      <c r="E39" s="46" t="s">
        <v>72</v>
      </c>
      <c r="F39" s="46" t="s">
        <v>72</v>
      </c>
      <c r="G39" s="46" t="s">
        <v>72</v>
      </c>
      <c r="H39" s="46" t="s">
        <v>72</v>
      </c>
      <c r="I39" s="46" t="s">
        <v>72</v>
      </c>
      <c r="J39" s="47" t="s">
        <v>72</v>
      </c>
      <c r="K39" s="46" t="s">
        <v>72</v>
      </c>
      <c r="L39" s="46" t="s">
        <v>30</v>
      </c>
      <c r="M39" s="32" t="s">
        <v>30</v>
      </c>
      <c r="N39" s="32" t="s">
        <v>30</v>
      </c>
      <c r="O39" s="46" t="s">
        <v>30</v>
      </c>
      <c r="P39" s="46" t="s">
        <v>30</v>
      </c>
      <c r="Q39" s="46" t="s">
        <v>72</v>
      </c>
      <c r="R39" s="46" t="s">
        <v>72</v>
      </c>
      <c r="S39" s="7"/>
      <c r="T39" s="7"/>
      <c r="U39" s="7"/>
      <c r="V39" s="7"/>
      <c r="W39" s="7"/>
      <c r="X39" s="7"/>
      <c r="Y39" s="7"/>
      <c r="Z39" s="7"/>
      <c r="AA39" s="7"/>
      <c r="AB39" s="7"/>
    </row>
    <row r="40" hidden="1">
      <c r="A40" s="13"/>
      <c r="B40" s="26"/>
      <c r="C40" s="15"/>
      <c r="D40" s="16" t="s">
        <v>15</v>
      </c>
      <c r="E40" s="36">
        <f t="shared" ref="E40:R40" si="20">if(E39=$D39,1,0)</f>
        <v>0</v>
      </c>
      <c r="F40" s="36">
        <f t="shared" si="20"/>
        <v>0</v>
      </c>
      <c r="G40" s="36">
        <f t="shared" si="20"/>
        <v>0</v>
      </c>
      <c r="H40" s="36">
        <f t="shared" si="20"/>
        <v>0</v>
      </c>
      <c r="I40" s="36">
        <f t="shared" si="20"/>
        <v>0</v>
      </c>
      <c r="J40" s="45">
        <f t="shared" si="20"/>
        <v>0</v>
      </c>
      <c r="K40" s="36">
        <f t="shared" si="20"/>
        <v>0</v>
      </c>
      <c r="L40" s="36">
        <f t="shared" si="20"/>
        <v>1</v>
      </c>
      <c r="M40" s="36">
        <f t="shared" si="20"/>
        <v>1</v>
      </c>
      <c r="N40" s="37">
        <f t="shared" si="20"/>
        <v>1</v>
      </c>
      <c r="O40" s="36">
        <f t="shared" si="20"/>
        <v>1</v>
      </c>
      <c r="P40" s="36">
        <f t="shared" si="20"/>
        <v>1</v>
      </c>
      <c r="Q40" s="36">
        <f t="shared" si="20"/>
        <v>0</v>
      </c>
      <c r="R40" s="36">
        <f t="shared" si="20"/>
        <v>0</v>
      </c>
      <c r="S40" s="19"/>
      <c r="T40" s="19"/>
      <c r="U40" s="19"/>
      <c r="V40" s="19"/>
      <c r="W40" s="19"/>
      <c r="X40" s="19"/>
      <c r="Y40" s="19"/>
      <c r="Z40" s="19"/>
      <c r="AA40" s="19"/>
      <c r="AB40" s="19"/>
    </row>
    <row r="41" ht="64.5" customHeight="1">
      <c r="A41" s="13">
        <v>20.0</v>
      </c>
      <c r="B41" s="26" t="s">
        <v>84</v>
      </c>
      <c r="C41" s="13" t="s">
        <v>33</v>
      </c>
      <c r="D41" s="26" t="s">
        <v>34</v>
      </c>
      <c r="E41" s="36" t="s">
        <v>35</v>
      </c>
      <c r="F41" s="36" t="s">
        <v>35</v>
      </c>
      <c r="G41" s="48" t="s">
        <v>34</v>
      </c>
      <c r="H41" s="36" t="s">
        <v>35</v>
      </c>
      <c r="I41" s="36" t="s">
        <v>35</v>
      </c>
      <c r="J41" s="36" t="s">
        <v>35</v>
      </c>
      <c r="K41" s="36" t="s">
        <v>35</v>
      </c>
      <c r="L41" s="45" t="s">
        <v>35</v>
      </c>
      <c r="M41" s="36" t="s">
        <v>36</v>
      </c>
      <c r="N41" s="36" t="s">
        <v>36</v>
      </c>
      <c r="O41" s="36" t="s">
        <v>35</v>
      </c>
      <c r="P41" s="48" t="s">
        <v>34</v>
      </c>
      <c r="Q41" s="36" t="s">
        <v>35</v>
      </c>
      <c r="R41" s="36" t="s">
        <v>35</v>
      </c>
      <c r="S41" s="36"/>
      <c r="T41" s="36"/>
      <c r="U41" s="19"/>
      <c r="V41" s="19"/>
      <c r="W41" s="19"/>
      <c r="X41" s="19"/>
      <c r="Y41" s="19"/>
      <c r="Z41" s="19"/>
      <c r="AA41" s="19"/>
      <c r="AB41" s="19"/>
    </row>
    <row r="42" hidden="1">
      <c r="A42" s="20"/>
      <c r="B42" s="21"/>
      <c r="C42" s="21"/>
      <c r="D42" s="23" t="s">
        <v>15</v>
      </c>
      <c r="E42" s="24">
        <f t="shared" ref="E42:R42" si="21">if(E41=$D41,1,0)</f>
        <v>0</v>
      </c>
      <c r="F42" s="24">
        <f t="shared" si="21"/>
        <v>0</v>
      </c>
      <c r="G42" s="24">
        <f t="shared" si="21"/>
        <v>1</v>
      </c>
      <c r="H42" s="24">
        <f t="shared" si="21"/>
        <v>0</v>
      </c>
      <c r="I42" s="24">
        <f t="shared" si="21"/>
        <v>0</v>
      </c>
      <c r="J42" s="24">
        <f t="shared" si="21"/>
        <v>0</v>
      </c>
      <c r="K42" s="24">
        <f t="shared" si="21"/>
        <v>0</v>
      </c>
      <c r="L42" s="24">
        <f t="shared" si="21"/>
        <v>0</v>
      </c>
      <c r="M42" s="24">
        <f t="shared" si="21"/>
        <v>0</v>
      </c>
      <c r="N42" s="24">
        <f t="shared" si="21"/>
        <v>0</v>
      </c>
      <c r="O42" s="24">
        <f t="shared" si="21"/>
        <v>0</v>
      </c>
      <c r="P42" s="24">
        <f t="shared" si="21"/>
        <v>1</v>
      </c>
      <c r="Q42" s="24">
        <f t="shared" si="21"/>
        <v>0</v>
      </c>
      <c r="R42" s="24">
        <f t="shared" si="21"/>
        <v>0</v>
      </c>
      <c r="S42" s="7"/>
      <c r="T42" s="7"/>
      <c r="U42" s="7"/>
      <c r="V42" s="7"/>
      <c r="W42" s="7"/>
      <c r="X42" s="7"/>
      <c r="Y42" s="7"/>
      <c r="Z42" s="7"/>
      <c r="AA42" s="7"/>
      <c r="AB42" s="7"/>
    </row>
    <row r="43">
      <c r="A43" s="28">
        <v>21.0</v>
      </c>
      <c r="B43" s="29" t="s">
        <v>85</v>
      </c>
      <c r="C43" s="30" t="s">
        <v>18</v>
      </c>
      <c r="D43" s="31" t="s">
        <v>20</v>
      </c>
      <c r="E43" s="46" t="s">
        <v>19</v>
      </c>
      <c r="F43" s="46" t="s">
        <v>19</v>
      </c>
      <c r="G43" s="46" t="s">
        <v>19</v>
      </c>
      <c r="H43" s="46" t="s">
        <v>19</v>
      </c>
      <c r="I43" s="46" t="s">
        <v>19</v>
      </c>
      <c r="J43" s="47" t="s">
        <v>19</v>
      </c>
      <c r="K43" s="46" t="s">
        <v>20</v>
      </c>
      <c r="L43" s="46" t="s">
        <v>20</v>
      </c>
      <c r="M43" s="46" t="s">
        <v>51</v>
      </c>
      <c r="N43" s="46" t="s">
        <v>51</v>
      </c>
      <c r="O43" s="46" t="s">
        <v>20</v>
      </c>
      <c r="P43" s="46" t="s">
        <v>19</v>
      </c>
      <c r="Q43" s="46" t="s">
        <v>19</v>
      </c>
      <c r="R43" s="46" t="s">
        <v>20</v>
      </c>
      <c r="S43" s="7"/>
      <c r="T43" s="7"/>
      <c r="U43" s="7"/>
      <c r="V43" s="7"/>
      <c r="W43" s="7"/>
      <c r="X43" s="7"/>
      <c r="Y43" s="7"/>
      <c r="Z43" s="7"/>
      <c r="AA43" s="7"/>
      <c r="AB43" s="7"/>
    </row>
    <row r="44" hidden="1">
      <c r="A44" s="20"/>
      <c r="B44" s="21"/>
      <c r="C44" s="21"/>
      <c r="D44" s="23" t="s">
        <v>15</v>
      </c>
      <c r="E44" s="24">
        <f t="shared" ref="E44:R44" si="22">if(E43=$D43,1,0)</f>
        <v>0</v>
      </c>
      <c r="F44" s="24">
        <f t="shared" si="22"/>
        <v>0</v>
      </c>
      <c r="G44" s="24">
        <f t="shared" si="22"/>
        <v>0</v>
      </c>
      <c r="H44" s="24">
        <f t="shared" si="22"/>
        <v>0</v>
      </c>
      <c r="I44" s="24">
        <f t="shared" si="22"/>
        <v>0</v>
      </c>
      <c r="J44" s="24">
        <f t="shared" si="22"/>
        <v>0</v>
      </c>
      <c r="K44" s="24">
        <f t="shared" si="22"/>
        <v>1</v>
      </c>
      <c r="L44" s="24">
        <f t="shared" si="22"/>
        <v>1</v>
      </c>
      <c r="M44" s="24">
        <f t="shared" si="22"/>
        <v>0</v>
      </c>
      <c r="N44" s="24">
        <f t="shared" si="22"/>
        <v>0</v>
      </c>
      <c r="O44" s="24">
        <f t="shared" si="22"/>
        <v>1</v>
      </c>
      <c r="P44" s="24">
        <f t="shared" si="22"/>
        <v>0</v>
      </c>
      <c r="Q44" s="24">
        <f t="shared" si="22"/>
        <v>0</v>
      </c>
      <c r="R44" s="24">
        <f t="shared" si="22"/>
        <v>1</v>
      </c>
      <c r="S44" s="7"/>
      <c r="T44" s="7"/>
      <c r="U44" s="7"/>
      <c r="V44" s="7"/>
      <c r="W44" s="7"/>
      <c r="X44" s="7"/>
      <c r="Y44" s="7"/>
      <c r="Z44" s="7"/>
      <c r="AA44" s="7"/>
      <c r="AB44" s="7"/>
    </row>
    <row r="45">
      <c r="A45" s="28">
        <v>22.0</v>
      </c>
      <c r="B45" s="29" t="s">
        <v>86</v>
      </c>
      <c r="C45" s="30" t="s">
        <v>18</v>
      </c>
      <c r="D45" s="31" t="s">
        <v>19</v>
      </c>
      <c r="E45" s="48" t="s">
        <v>19</v>
      </c>
      <c r="F45" s="48" t="s">
        <v>19</v>
      </c>
      <c r="G45" s="46" t="s">
        <v>20</v>
      </c>
      <c r="H45" s="46" t="s">
        <v>20</v>
      </c>
      <c r="I45" s="46" t="s">
        <v>20</v>
      </c>
      <c r="J45" s="47" t="s">
        <v>20</v>
      </c>
      <c r="K45" s="46" t="s">
        <v>20</v>
      </c>
      <c r="L45" s="46" t="s">
        <v>20</v>
      </c>
      <c r="M45" s="46" t="s">
        <v>21</v>
      </c>
      <c r="N45" s="46" t="s">
        <v>21</v>
      </c>
      <c r="O45" s="48" t="s">
        <v>19</v>
      </c>
      <c r="P45" s="48" t="s">
        <v>19</v>
      </c>
      <c r="Q45" s="48" t="s">
        <v>19</v>
      </c>
      <c r="R45" s="48" t="s">
        <v>19</v>
      </c>
      <c r="S45" s="7"/>
      <c r="T45" s="7"/>
      <c r="U45" s="7"/>
      <c r="V45" s="7"/>
      <c r="W45" s="7"/>
      <c r="X45" s="7"/>
      <c r="Y45" s="7"/>
      <c r="Z45" s="7"/>
      <c r="AA45" s="7"/>
      <c r="AB45" s="7"/>
    </row>
    <row r="46" hidden="1">
      <c r="A46" s="20"/>
      <c r="B46" s="21"/>
      <c r="C46" s="21"/>
      <c r="D46" s="23" t="s">
        <v>15</v>
      </c>
      <c r="E46" s="24">
        <f t="shared" ref="E46:R46" si="23">if(E45=$D45,1,0)</f>
        <v>1</v>
      </c>
      <c r="F46" s="24">
        <f t="shared" si="23"/>
        <v>1</v>
      </c>
      <c r="G46" s="24">
        <f t="shared" si="23"/>
        <v>0</v>
      </c>
      <c r="H46" s="24">
        <f t="shared" si="23"/>
        <v>0</v>
      </c>
      <c r="I46" s="24">
        <f t="shared" si="23"/>
        <v>0</v>
      </c>
      <c r="J46" s="24">
        <f t="shared" si="23"/>
        <v>0</v>
      </c>
      <c r="K46" s="24">
        <f t="shared" si="23"/>
        <v>0</v>
      </c>
      <c r="L46" s="24">
        <f t="shared" si="23"/>
        <v>0</v>
      </c>
      <c r="M46" s="24">
        <f t="shared" si="23"/>
        <v>0</v>
      </c>
      <c r="N46" s="24">
        <f t="shared" si="23"/>
        <v>0</v>
      </c>
      <c r="O46" s="24">
        <f t="shared" si="23"/>
        <v>1</v>
      </c>
      <c r="P46" s="24">
        <f t="shared" si="23"/>
        <v>1</v>
      </c>
      <c r="Q46" s="24">
        <f t="shared" si="23"/>
        <v>1</v>
      </c>
      <c r="R46" s="24">
        <f t="shared" si="23"/>
        <v>1</v>
      </c>
      <c r="S46" s="7"/>
      <c r="T46" s="7"/>
      <c r="U46" s="7"/>
      <c r="V46" s="7"/>
      <c r="W46" s="7"/>
      <c r="X46" s="7"/>
      <c r="Y46" s="7"/>
      <c r="Z46" s="7"/>
      <c r="AA46" s="7"/>
      <c r="AB46" s="7"/>
    </row>
    <row r="47">
      <c r="A47" s="28">
        <v>22.0</v>
      </c>
      <c r="B47" s="29" t="s">
        <v>68</v>
      </c>
      <c r="C47" s="21"/>
      <c r="D47" s="23" t="s">
        <v>15</v>
      </c>
      <c r="E47" s="46">
        <v>49.0</v>
      </c>
      <c r="F47" s="46">
        <v>45.0</v>
      </c>
      <c r="G47" s="46">
        <v>48.0</v>
      </c>
      <c r="H47" s="46">
        <v>46.0</v>
      </c>
      <c r="I47" s="46">
        <v>43.0</v>
      </c>
      <c r="J47" s="47">
        <v>51.0</v>
      </c>
      <c r="K47" s="46">
        <v>45.0</v>
      </c>
      <c r="L47" s="46">
        <v>38.0</v>
      </c>
      <c r="M47" s="46">
        <v>55.0</v>
      </c>
      <c r="N47" s="46">
        <v>41.0</v>
      </c>
      <c r="O47" s="46">
        <v>55.0</v>
      </c>
      <c r="P47" s="46">
        <v>63.0</v>
      </c>
      <c r="Q47" s="46">
        <v>37.0</v>
      </c>
      <c r="R47" s="46">
        <v>56.0</v>
      </c>
      <c r="S47" s="7"/>
      <c r="T47" s="7"/>
      <c r="U47" s="7"/>
      <c r="V47" s="7"/>
      <c r="W47" s="7"/>
      <c r="X47" s="7"/>
      <c r="Y47" s="7"/>
      <c r="Z47" s="7"/>
      <c r="AA47" s="7"/>
      <c r="AB47" s="7"/>
    </row>
    <row r="48">
      <c r="A48" s="20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7"/>
      <c r="T48" s="7"/>
      <c r="U48" s="7"/>
      <c r="V48" s="7"/>
      <c r="W48" s="7"/>
      <c r="X48" s="7"/>
      <c r="Y48" s="7"/>
      <c r="Z48" s="7"/>
      <c r="AA48" s="7"/>
      <c r="AB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</row>
  </sheetData>
  <mergeCells count="1">
    <mergeCell ref="A1:D1"/>
  </mergeCells>
  <conditionalFormatting sqref="B2">
    <cfRule type="expression" dxfId="0" priority="1">
      <formula>RegExMatch((#REF!),"Done")</formula>
    </cfRule>
  </conditionalFormatting>
  <conditionalFormatting sqref="A2:A52 C41">
    <cfRule type="expression" dxfId="0" priority="2">
      <formula>RegExMatch(($D2),"Done")</formula>
    </cfRule>
  </conditionalFormatting>
  <conditionalFormatting sqref="C3 C5 C7 C11 C13 C15 C21 C29 C40:C41 E41:F41">
    <cfRule type="notContainsBlanks" dxfId="1" priority="3">
      <formula>LEN(TRIM(C3))&gt;0</formula>
    </cfRule>
  </conditionalFormatting>
  <conditionalFormatting sqref="E5:R5 E7:R7 E11:R11 E13:R13 E15:R15 E21:R21 E29:R29 E40:F41 G40 H40:O41 P40 Q40:R41 S41:T41">
    <cfRule type="cellIs" dxfId="2" priority="4" operator="equal">
      <formula>$D$5</formula>
    </cfRule>
  </conditionalFormatting>
  <conditionalFormatting sqref="E7:R7 E11:R11 E13:R13 E15:R15 E21:R21 E29:R29 E40:F41 G40 H40:O41 P40 Q40:R41 S41:T41">
    <cfRule type="cellIs" dxfId="2" priority="5" operator="equal">
      <formula>$D$7</formula>
    </cfRule>
  </conditionalFormatting>
  <conditionalFormatting sqref="E9:R9">
    <cfRule type="cellIs" dxfId="2" priority="6" operator="equal">
      <formula>$D$9</formula>
    </cfRule>
  </conditionalFormatting>
  <conditionalFormatting sqref="E11:R11 E13:R13 E15:R15 E21:R21 E29:R29 E40:F41 G40 H40:O41 P40 Q40:R41 S41:T41">
    <cfRule type="cellIs" dxfId="2" priority="7" operator="equal">
      <formula>$D$11</formula>
    </cfRule>
  </conditionalFormatting>
  <conditionalFormatting sqref="E13:R13">
    <cfRule type="cellIs" dxfId="2" priority="8" operator="equal">
      <formula>$D$13</formula>
    </cfRule>
  </conditionalFormatting>
  <conditionalFormatting sqref="E15:R15 E21:R21 E40:F41 G40 H40:O41 P40 Q40:R41">
    <cfRule type="cellIs" dxfId="2" priority="9" operator="equal">
      <formula>$D$15</formula>
    </cfRule>
  </conditionalFormatting>
  <conditionalFormatting sqref="E17:R17">
    <cfRule type="cellIs" dxfId="2" priority="10" operator="equal">
      <formula>$D$17</formula>
    </cfRule>
  </conditionalFormatting>
  <conditionalFormatting sqref="E19:R19">
    <cfRule type="cellIs" dxfId="2" priority="11" operator="equal">
      <formula>$D$19</formula>
    </cfRule>
  </conditionalFormatting>
  <conditionalFormatting sqref="E21:R21 E40:F41 G40 H40:O41 P40 Q40:R41">
    <cfRule type="cellIs" dxfId="2" priority="12" operator="equal">
      <formula>$D$21</formula>
    </cfRule>
  </conditionalFormatting>
  <conditionalFormatting sqref="E23:R23">
    <cfRule type="cellIs" dxfId="2" priority="13" operator="equal">
      <formula>$D$23</formula>
    </cfRule>
  </conditionalFormatting>
  <conditionalFormatting sqref="E25:R25">
    <cfRule type="cellIs" dxfId="2" priority="14" operator="equal">
      <formula>$D$25</formula>
    </cfRule>
  </conditionalFormatting>
  <conditionalFormatting sqref="E27:R27">
    <cfRule type="cellIs" dxfId="2" priority="15" operator="equal">
      <formula>$D$27</formula>
    </cfRule>
  </conditionalFormatting>
  <conditionalFormatting sqref="E29:R29 H41:O41 Q41:T41">
    <cfRule type="cellIs" dxfId="2" priority="16" operator="equal">
      <formula>$D$29</formula>
    </cfRule>
  </conditionalFormatting>
  <conditionalFormatting sqref="E31:R31">
    <cfRule type="cellIs" dxfId="2" priority="17" operator="equal">
      <formula>$D$31</formula>
    </cfRule>
  </conditionalFormatting>
  <conditionalFormatting sqref="E33:R33">
    <cfRule type="cellIs" dxfId="2" priority="18" operator="equal">
      <formula>$D$33</formula>
    </cfRule>
  </conditionalFormatting>
  <conditionalFormatting sqref="E35:R35">
    <cfRule type="cellIs" dxfId="2" priority="19" operator="equal">
      <formula>$D$35</formula>
    </cfRule>
  </conditionalFormatting>
  <conditionalFormatting sqref="E37:R37">
    <cfRule type="cellIs" dxfId="2" priority="20" operator="equal">
      <formula>$D$37</formula>
    </cfRule>
  </conditionalFormatting>
  <conditionalFormatting sqref="E39:F41 G39:G40 H39:O41 P39:P40 Q39:R41 E43:F44 G43:N45 O43:R44">
    <cfRule type="cellIs" dxfId="2" priority="21" operator="equal">
      <formula>$D$39</formula>
    </cfRule>
  </conditionalFormatting>
  <conditionalFormatting sqref="E3:R3 E5:R5 E7:R7 E11:R11 E13:R13 E15:R15 E21:R21 E29:R29 E40:F41 G40 H40:O41 P40 Q40:R41 S41:T41">
    <cfRule type="cellIs" dxfId="6" priority="22" operator="equal">
      <formula>$D$3</formula>
    </cfRule>
  </conditionalFormatting>
  <conditionalFormatting sqref="E40:F41 G40 H40:O41 P40 Q40:R41">
    <cfRule type="expression" dxfId="3" priority="23">
      <formula>D40</formula>
    </cfRule>
  </conditionalFormatting>
  <drawing r:id="rId4"/>
  <legacy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9"/>
      <c r="E1" s="50" t="s">
        <v>0</v>
      </c>
      <c r="F1" s="50" t="s">
        <v>1</v>
      </c>
      <c r="G1" s="50" t="s">
        <v>2</v>
      </c>
      <c r="H1" s="50" t="s">
        <v>3</v>
      </c>
      <c r="I1" s="50" t="s">
        <v>4</v>
      </c>
      <c r="J1" s="50" t="s">
        <v>5</v>
      </c>
      <c r="K1" s="50" t="s">
        <v>6</v>
      </c>
      <c r="L1" s="50" t="s">
        <v>7</v>
      </c>
      <c r="M1" s="50" t="s">
        <v>8</v>
      </c>
      <c r="N1" s="50" t="s">
        <v>9</v>
      </c>
      <c r="O1" s="50" t="s">
        <v>10</v>
      </c>
      <c r="P1" s="51" t="s">
        <v>11</v>
      </c>
      <c r="Q1" s="50" t="s">
        <v>12</v>
      </c>
      <c r="R1" s="50" t="s">
        <v>14</v>
      </c>
    </row>
    <row r="2">
      <c r="A2" s="52" t="s">
        <v>15</v>
      </c>
      <c r="B2" s="53" t="s">
        <v>15</v>
      </c>
      <c r="C2" s="54" t="s">
        <v>15</v>
      </c>
      <c r="D2" s="55" t="s">
        <v>16</v>
      </c>
      <c r="E2" s="56">
        <f t="shared" ref="E2:R2" si="1">E4+E6+E8+E10+E12+E14+E16+E18+E20+E22+E24+E26+E28+E30+E32+E34+E36+E38+E40</f>
        <v>9</v>
      </c>
      <c r="F2" s="56">
        <f t="shared" si="1"/>
        <v>10</v>
      </c>
      <c r="G2" s="57">
        <f t="shared" si="1"/>
        <v>13</v>
      </c>
      <c r="H2" s="56">
        <f t="shared" si="1"/>
        <v>11</v>
      </c>
      <c r="I2" s="56">
        <f t="shared" si="1"/>
        <v>4</v>
      </c>
      <c r="J2" s="56">
        <f t="shared" si="1"/>
        <v>8</v>
      </c>
      <c r="K2" s="56">
        <f t="shared" si="1"/>
        <v>10</v>
      </c>
      <c r="L2" s="56">
        <f t="shared" si="1"/>
        <v>11</v>
      </c>
      <c r="M2" s="56">
        <f t="shared" si="1"/>
        <v>11</v>
      </c>
      <c r="N2" s="56">
        <f t="shared" si="1"/>
        <v>11</v>
      </c>
      <c r="O2" s="56">
        <f t="shared" si="1"/>
        <v>7</v>
      </c>
      <c r="P2" s="57">
        <f t="shared" si="1"/>
        <v>13</v>
      </c>
      <c r="Q2" s="57">
        <f t="shared" si="1"/>
        <v>13</v>
      </c>
      <c r="R2" s="56">
        <f t="shared" si="1"/>
        <v>12</v>
      </c>
    </row>
    <row r="3">
      <c r="A3" s="58">
        <v>1.0</v>
      </c>
      <c r="B3" s="59" t="s">
        <v>87</v>
      </c>
      <c r="C3" s="60" t="s">
        <v>33</v>
      </c>
      <c r="D3" s="61" t="s">
        <v>34</v>
      </c>
      <c r="E3" s="62" t="s">
        <v>34</v>
      </c>
      <c r="F3" s="62" t="s">
        <v>34</v>
      </c>
      <c r="G3" s="62" t="s">
        <v>35</v>
      </c>
      <c r="H3" s="62" t="s">
        <v>35</v>
      </c>
      <c r="I3" s="62" t="s">
        <v>35</v>
      </c>
      <c r="J3" s="62" t="s">
        <v>34</v>
      </c>
      <c r="K3" s="62" t="s">
        <v>35</v>
      </c>
      <c r="L3" s="62" t="s">
        <v>34</v>
      </c>
      <c r="M3" s="62" t="s">
        <v>34</v>
      </c>
      <c r="N3" s="62" t="s">
        <v>34</v>
      </c>
      <c r="O3" s="62" t="s">
        <v>35</v>
      </c>
      <c r="P3" s="62" t="s">
        <v>34</v>
      </c>
      <c r="Q3" s="62" t="s">
        <v>34</v>
      </c>
      <c r="R3" s="62" t="s">
        <v>35</v>
      </c>
    </row>
    <row r="4" hidden="1">
      <c r="A4" s="63"/>
      <c r="B4" s="59"/>
      <c r="C4" s="64"/>
      <c r="D4" s="61" t="s">
        <v>15</v>
      </c>
      <c r="E4" s="65">
        <f t="shared" ref="E4:R4" si="2">if(E3=$D$3,1,0)</f>
        <v>1</v>
      </c>
      <c r="F4" s="65">
        <f t="shared" si="2"/>
        <v>1</v>
      </c>
      <c r="G4" s="65">
        <f t="shared" si="2"/>
        <v>0</v>
      </c>
      <c r="H4" s="65">
        <f t="shared" si="2"/>
        <v>0</v>
      </c>
      <c r="I4" s="65">
        <f t="shared" si="2"/>
        <v>0</v>
      </c>
      <c r="J4" s="65">
        <f t="shared" si="2"/>
        <v>1</v>
      </c>
      <c r="K4" s="65">
        <f t="shared" si="2"/>
        <v>0</v>
      </c>
      <c r="L4" s="65">
        <f t="shared" si="2"/>
        <v>1</v>
      </c>
      <c r="M4" s="65">
        <f t="shared" si="2"/>
        <v>1</v>
      </c>
      <c r="N4" s="65">
        <f t="shared" si="2"/>
        <v>1</v>
      </c>
      <c r="O4" s="65">
        <f t="shared" si="2"/>
        <v>0</v>
      </c>
      <c r="P4" s="65">
        <f t="shared" si="2"/>
        <v>1</v>
      </c>
      <c r="Q4" s="65">
        <f t="shared" si="2"/>
        <v>1</v>
      </c>
      <c r="R4" s="65">
        <f t="shared" si="2"/>
        <v>0</v>
      </c>
    </row>
    <row r="5">
      <c r="A5" s="66">
        <v>2.0</v>
      </c>
      <c r="B5" s="59" t="s">
        <v>22</v>
      </c>
      <c r="C5" s="67" t="s">
        <v>23</v>
      </c>
      <c r="D5" s="61" t="s">
        <v>24</v>
      </c>
      <c r="E5" s="62" t="s">
        <v>24</v>
      </c>
      <c r="F5" s="62" t="s">
        <v>24</v>
      </c>
      <c r="G5" s="62" t="s">
        <v>25</v>
      </c>
      <c r="H5" s="62" t="s">
        <v>24</v>
      </c>
      <c r="I5" s="62" t="s">
        <v>25</v>
      </c>
      <c r="J5" s="62" t="s">
        <v>25</v>
      </c>
      <c r="K5" s="62" t="s">
        <v>25</v>
      </c>
      <c r="L5" s="62" t="s">
        <v>24</v>
      </c>
      <c r="M5" s="62" t="s">
        <v>24</v>
      </c>
      <c r="N5" s="62" t="s">
        <v>24</v>
      </c>
      <c r="O5" s="62" t="s">
        <v>25</v>
      </c>
      <c r="P5" s="62" t="s">
        <v>25</v>
      </c>
      <c r="Q5" s="62" t="s">
        <v>24</v>
      </c>
      <c r="R5" s="62" t="s">
        <v>24</v>
      </c>
    </row>
    <row r="6" hidden="1">
      <c r="A6" s="66"/>
      <c r="B6" s="59"/>
      <c r="C6" s="67"/>
      <c r="D6" s="61" t="s">
        <v>15</v>
      </c>
      <c r="E6" s="65">
        <f t="shared" ref="E6:R6" si="3">if(E5=$D$5,1,0)</f>
        <v>1</v>
      </c>
      <c r="F6" s="65">
        <f t="shared" si="3"/>
        <v>1</v>
      </c>
      <c r="G6" s="65">
        <f t="shared" si="3"/>
        <v>0</v>
      </c>
      <c r="H6" s="65">
        <f t="shared" si="3"/>
        <v>1</v>
      </c>
      <c r="I6" s="65">
        <f t="shared" si="3"/>
        <v>0</v>
      </c>
      <c r="J6" s="65">
        <f t="shared" si="3"/>
        <v>0</v>
      </c>
      <c r="K6" s="65">
        <f t="shared" si="3"/>
        <v>0</v>
      </c>
      <c r="L6" s="65">
        <f t="shared" si="3"/>
        <v>1</v>
      </c>
      <c r="M6" s="65">
        <f t="shared" si="3"/>
        <v>1</v>
      </c>
      <c r="N6" s="65">
        <f t="shared" si="3"/>
        <v>1</v>
      </c>
      <c r="O6" s="65">
        <f t="shared" si="3"/>
        <v>0</v>
      </c>
      <c r="P6" s="65">
        <f t="shared" si="3"/>
        <v>0</v>
      </c>
      <c r="Q6" s="65">
        <f t="shared" si="3"/>
        <v>1</v>
      </c>
      <c r="R6" s="65">
        <f t="shared" si="3"/>
        <v>1</v>
      </c>
    </row>
    <row r="7">
      <c r="A7" s="66">
        <v>3.0</v>
      </c>
      <c r="B7" s="59" t="s">
        <v>27</v>
      </c>
      <c r="C7" s="67" t="s">
        <v>28</v>
      </c>
      <c r="D7" s="61" t="s">
        <v>29</v>
      </c>
      <c r="E7" s="62" t="s">
        <v>30</v>
      </c>
      <c r="F7" s="62" t="s">
        <v>29</v>
      </c>
      <c r="G7" s="62" t="s">
        <v>29</v>
      </c>
      <c r="H7" s="62" t="s">
        <v>30</v>
      </c>
      <c r="I7" s="62" t="s">
        <v>30</v>
      </c>
      <c r="J7" s="62" t="s">
        <v>30</v>
      </c>
      <c r="K7" s="62" t="s">
        <v>29</v>
      </c>
      <c r="L7" s="62" t="s">
        <v>30</v>
      </c>
      <c r="M7" s="62" t="s">
        <v>29</v>
      </c>
      <c r="N7" s="62" t="s">
        <v>29</v>
      </c>
      <c r="O7" s="62" t="s">
        <v>29</v>
      </c>
      <c r="P7" s="62" t="s">
        <v>29</v>
      </c>
      <c r="Q7" s="62" t="s">
        <v>29</v>
      </c>
      <c r="R7" s="62" t="s">
        <v>30</v>
      </c>
    </row>
    <row r="8" hidden="1">
      <c r="A8" s="66"/>
      <c r="B8" s="59"/>
      <c r="C8" s="67"/>
      <c r="D8" s="61" t="s">
        <v>15</v>
      </c>
      <c r="E8" s="65">
        <f t="shared" ref="E8:R8" si="4">if(E7=$D$7,1,0)</f>
        <v>0</v>
      </c>
      <c r="F8" s="65">
        <f t="shared" si="4"/>
        <v>1</v>
      </c>
      <c r="G8" s="65">
        <f t="shared" si="4"/>
        <v>1</v>
      </c>
      <c r="H8" s="65">
        <f t="shared" si="4"/>
        <v>0</v>
      </c>
      <c r="I8" s="65">
        <f t="shared" si="4"/>
        <v>0</v>
      </c>
      <c r="J8" s="65">
        <f t="shared" si="4"/>
        <v>0</v>
      </c>
      <c r="K8" s="65">
        <f t="shared" si="4"/>
        <v>1</v>
      </c>
      <c r="L8" s="65">
        <f t="shared" si="4"/>
        <v>0</v>
      </c>
      <c r="M8" s="65">
        <f t="shared" si="4"/>
        <v>1</v>
      </c>
      <c r="N8" s="65">
        <f t="shared" si="4"/>
        <v>1</v>
      </c>
      <c r="O8" s="65">
        <f t="shared" si="4"/>
        <v>1</v>
      </c>
      <c r="P8" s="65">
        <f t="shared" si="4"/>
        <v>1</v>
      </c>
      <c r="Q8" s="65">
        <f t="shared" si="4"/>
        <v>1</v>
      </c>
      <c r="R8" s="65">
        <f t="shared" si="4"/>
        <v>0</v>
      </c>
    </row>
    <row r="9">
      <c r="A9" s="66">
        <v>4.0</v>
      </c>
      <c r="B9" s="59" t="s">
        <v>32</v>
      </c>
      <c r="C9" s="67" t="s">
        <v>33</v>
      </c>
      <c r="D9" s="61" t="s">
        <v>35</v>
      </c>
      <c r="E9" s="62" t="s">
        <v>35</v>
      </c>
      <c r="F9" s="62" t="s">
        <v>35</v>
      </c>
      <c r="G9" s="62" t="s">
        <v>35</v>
      </c>
      <c r="H9" s="62" t="s">
        <v>35</v>
      </c>
      <c r="I9" s="62" t="s">
        <v>34</v>
      </c>
      <c r="J9" s="62" t="s">
        <v>35</v>
      </c>
      <c r="K9" s="62" t="s">
        <v>35</v>
      </c>
      <c r="L9" s="62" t="s">
        <v>34</v>
      </c>
      <c r="M9" s="62" t="s">
        <v>35</v>
      </c>
      <c r="N9" s="62" t="s">
        <v>35</v>
      </c>
      <c r="O9" s="62" t="s">
        <v>34</v>
      </c>
      <c r="P9" s="62" t="s">
        <v>35</v>
      </c>
      <c r="Q9" s="62" t="s">
        <v>34</v>
      </c>
      <c r="R9" s="62" t="s">
        <v>35</v>
      </c>
    </row>
    <row r="10" hidden="1">
      <c r="A10" s="66"/>
      <c r="B10" s="59"/>
      <c r="C10" s="67"/>
      <c r="D10" s="61" t="s">
        <v>15</v>
      </c>
      <c r="E10" s="65">
        <f t="shared" ref="E10:R10" si="5">if(E9=$D9,1,0)</f>
        <v>1</v>
      </c>
      <c r="F10" s="65">
        <f t="shared" si="5"/>
        <v>1</v>
      </c>
      <c r="G10" s="65">
        <f t="shared" si="5"/>
        <v>1</v>
      </c>
      <c r="H10" s="65">
        <f t="shared" si="5"/>
        <v>1</v>
      </c>
      <c r="I10" s="65">
        <f t="shared" si="5"/>
        <v>0</v>
      </c>
      <c r="J10" s="65">
        <f t="shared" si="5"/>
        <v>1</v>
      </c>
      <c r="K10" s="65">
        <f t="shared" si="5"/>
        <v>1</v>
      </c>
      <c r="L10" s="65">
        <f t="shared" si="5"/>
        <v>0</v>
      </c>
      <c r="M10" s="65">
        <f t="shared" si="5"/>
        <v>1</v>
      </c>
      <c r="N10" s="65">
        <f t="shared" si="5"/>
        <v>1</v>
      </c>
      <c r="O10" s="65">
        <f t="shared" si="5"/>
        <v>0</v>
      </c>
      <c r="P10" s="65">
        <f t="shared" si="5"/>
        <v>1</v>
      </c>
      <c r="Q10" s="65">
        <f t="shared" si="5"/>
        <v>0</v>
      </c>
      <c r="R10" s="65">
        <f t="shared" si="5"/>
        <v>1</v>
      </c>
    </row>
    <row r="11">
      <c r="A11" s="66">
        <v>5.0</v>
      </c>
      <c r="B11" s="59" t="s">
        <v>37</v>
      </c>
      <c r="C11" s="67" t="s">
        <v>28</v>
      </c>
      <c r="D11" s="61" t="s">
        <v>29</v>
      </c>
      <c r="E11" s="62" t="s">
        <v>30</v>
      </c>
      <c r="F11" s="62" t="s">
        <v>30</v>
      </c>
      <c r="G11" s="62" t="s">
        <v>30</v>
      </c>
      <c r="H11" s="62" t="s">
        <v>29</v>
      </c>
      <c r="I11" s="62" t="s">
        <v>30</v>
      </c>
      <c r="J11" s="62" t="s">
        <v>29</v>
      </c>
      <c r="K11" s="62" t="s">
        <v>29</v>
      </c>
      <c r="L11" s="62" t="s">
        <v>30</v>
      </c>
      <c r="M11" s="62" t="s">
        <v>29</v>
      </c>
      <c r="N11" s="62" t="s">
        <v>30</v>
      </c>
      <c r="O11" s="62" t="s">
        <v>29</v>
      </c>
      <c r="P11" s="62" t="s">
        <v>29</v>
      </c>
      <c r="Q11" s="62" t="s">
        <v>30</v>
      </c>
      <c r="R11" s="62" t="s">
        <v>30</v>
      </c>
    </row>
    <row r="12" hidden="1">
      <c r="A12" s="66"/>
      <c r="B12" s="59"/>
      <c r="C12" s="67"/>
      <c r="D12" s="61" t="s">
        <v>15</v>
      </c>
      <c r="E12" s="65">
        <f t="shared" ref="E12:R12" si="6">if(E11=$D11,1,0)</f>
        <v>0</v>
      </c>
      <c r="F12" s="65">
        <f t="shared" si="6"/>
        <v>0</v>
      </c>
      <c r="G12" s="65">
        <f t="shared" si="6"/>
        <v>0</v>
      </c>
      <c r="H12" s="65">
        <f t="shared" si="6"/>
        <v>1</v>
      </c>
      <c r="I12" s="65">
        <f t="shared" si="6"/>
        <v>0</v>
      </c>
      <c r="J12" s="65">
        <f t="shared" si="6"/>
        <v>1</v>
      </c>
      <c r="K12" s="65">
        <f t="shared" si="6"/>
        <v>1</v>
      </c>
      <c r="L12" s="65">
        <f t="shared" si="6"/>
        <v>0</v>
      </c>
      <c r="M12" s="65">
        <f t="shared" si="6"/>
        <v>1</v>
      </c>
      <c r="N12" s="65">
        <f t="shared" si="6"/>
        <v>0</v>
      </c>
      <c r="O12" s="65">
        <f t="shared" si="6"/>
        <v>1</v>
      </c>
      <c r="P12" s="65">
        <f t="shared" si="6"/>
        <v>1</v>
      </c>
      <c r="Q12" s="65">
        <f t="shared" si="6"/>
        <v>0</v>
      </c>
      <c r="R12" s="65">
        <f t="shared" si="6"/>
        <v>0</v>
      </c>
    </row>
    <row r="13">
      <c r="A13" s="66">
        <v>6.0</v>
      </c>
      <c r="B13" s="59" t="s">
        <v>38</v>
      </c>
      <c r="C13" s="67" t="s">
        <v>28</v>
      </c>
      <c r="D13" s="61" t="s">
        <v>29</v>
      </c>
      <c r="E13" s="62" t="s">
        <v>29</v>
      </c>
      <c r="F13" s="62" t="s">
        <v>29</v>
      </c>
      <c r="G13" s="62" t="s">
        <v>29</v>
      </c>
      <c r="H13" s="62" t="s">
        <v>30</v>
      </c>
      <c r="I13" s="62" t="s">
        <v>29</v>
      </c>
      <c r="J13" s="62" t="s">
        <v>30</v>
      </c>
      <c r="K13" s="62" t="s">
        <v>30</v>
      </c>
      <c r="L13" s="62" t="s">
        <v>29</v>
      </c>
      <c r="M13" s="62" t="s">
        <v>29</v>
      </c>
      <c r="N13" s="62" t="s">
        <v>29</v>
      </c>
      <c r="O13" s="62" t="s">
        <v>30</v>
      </c>
      <c r="P13" s="62" t="s">
        <v>29</v>
      </c>
      <c r="Q13" s="62" t="s">
        <v>29</v>
      </c>
      <c r="R13" s="62" t="s">
        <v>29</v>
      </c>
    </row>
    <row r="14" hidden="1">
      <c r="A14" s="66"/>
      <c r="B14" s="59"/>
      <c r="C14" s="67"/>
      <c r="D14" s="61" t="s">
        <v>15</v>
      </c>
      <c r="E14" s="65">
        <f t="shared" ref="E14:R14" si="7">if(E13=$D13,1,0)</f>
        <v>1</v>
      </c>
      <c r="F14" s="65">
        <f t="shared" si="7"/>
        <v>1</v>
      </c>
      <c r="G14" s="65">
        <f t="shared" si="7"/>
        <v>1</v>
      </c>
      <c r="H14" s="65">
        <f t="shared" si="7"/>
        <v>0</v>
      </c>
      <c r="I14" s="65">
        <f t="shared" si="7"/>
        <v>1</v>
      </c>
      <c r="J14" s="65">
        <f t="shared" si="7"/>
        <v>0</v>
      </c>
      <c r="K14" s="65">
        <f t="shared" si="7"/>
        <v>0</v>
      </c>
      <c r="L14" s="65">
        <f t="shared" si="7"/>
        <v>1</v>
      </c>
      <c r="M14" s="65">
        <f t="shared" si="7"/>
        <v>1</v>
      </c>
      <c r="N14" s="65">
        <f t="shared" si="7"/>
        <v>1</v>
      </c>
      <c r="O14" s="65">
        <f t="shared" si="7"/>
        <v>0</v>
      </c>
      <c r="P14" s="65">
        <f t="shared" si="7"/>
        <v>1</v>
      </c>
      <c r="Q14" s="65">
        <f t="shared" si="7"/>
        <v>1</v>
      </c>
      <c r="R14" s="65">
        <f t="shared" si="7"/>
        <v>1</v>
      </c>
    </row>
    <row r="15">
      <c r="A15" s="66">
        <v>7.0</v>
      </c>
      <c r="B15" s="59" t="s">
        <v>39</v>
      </c>
      <c r="C15" s="67" t="s">
        <v>18</v>
      </c>
      <c r="D15" s="61" t="s">
        <v>20</v>
      </c>
      <c r="E15" s="62" t="s">
        <v>20</v>
      </c>
      <c r="F15" s="62" t="s">
        <v>19</v>
      </c>
      <c r="G15" s="62" t="s">
        <v>20</v>
      </c>
      <c r="H15" s="62" t="s">
        <v>20</v>
      </c>
      <c r="I15" s="62" t="s">
        <v>20</v>
      </c>
      <c r="J15" s="62" t="s">
        <v>20</v>
      </c>
      <c r="K15" s="62" t="s">
        <v>20</v>
      </c>
      <c r="L15" s="62" t="s">
        <v>20</v>
      </c>
      <c r="M15" s="62" t="s">
        <v>20</v>
      </c>
      <c r="N15" s="62" t="s">
        <v>20</v>
      </c>
      <c r="O15" s="62" t="s">
        <v>20</v>
      </c>
      <c r="P15" s="62" t="s">
        <v>19</v>
      </c>
      <c r="Q15" s="62" t="s">
        <v>20</v>
      </c>
      <c r="R15" s="62" t="s">
        <v>19</v>
      </c>
    </row>
    <row r="16" hidden="1">
      <c r="A16" s="66"/>
      <c r="B16" s="59"/>
      <c r="C16" s="67"/>
      <c r="D16" s="61" t="s">
        <v>15</v>
      </c>
      <c r="E16" s="65">
        <f t="shared" ref="E16:R16" si="8">if(E15=$D15,1,0)</f>
        <v>1</v>
      </c>
      <c r="F16" s="65">
        <f t="shared" si="8"/>
        <v>0</v>
      </c>
      <c r="G16" s="65">
        <f t="shared" si="8"/>
        <v>1</v>
      </c>
      <c r="H16" s="65">
        <f t="shared" si="8"/>
        <v>1</v>
      </c>
      <c r="I16" s="65">
        <f t="shared" si="8"/>
        <v>1</v>
      </c>
      <c r="J16" s="65">
        <f t="shared" si="8"/>
        <v>1</v>
      </c>
      <c r="K16" s="65">
        <f t="shared" si="8"/>
        <v>1</v>
      </c>
      <c r="L16" s="65">
        <f t="shared" si="8"/>
        <v>1</v>
      </c>
      <c r="M16" s="65">
        <f t="shared" si="8"/>
        <v>1</v>
      </c>
      <c r="N16" s="65">
        <f t="shared" si="8"/>
        <v>1</v>
      </c>
      <c r="O16" s="65">
        <f t="shared" si="8"/>
        <v>1</v>
      </c>
      <c r="P16" s="65">
        <f t="shared" si="8"/>
        <v>0</v>
      </c>
      <c r="Q16" s="65">
        <f t="shared" si="8"/>
        <v>1</v>
      </c>
      <c r="R16" s="65">
        <f t="shared" si="8"/>
        <v>0</v>
      </c>
    </row>
    <row r="17">
      <c r="A17" s="66">
        <v>8.0</v>
      </c>
      <c r="B17" s="59" t="s">
        <v>40</v>
      </c>
      <c r="C17" s="67" t="s">
        <v>18</v>
      </c>
      <c r="D17" s="61" t="s">
        <v>20</v>
      </c>
      <c r="E17" s="62" t="s">
        <v>20</v>
      </c>
      <c r="F17" s="62" t="s">
        <v>20</v>
      </c>
      <c r="G17" s="62" t="s">
        <v>20</v>
      </c>
      <c r="H17" s="62" t="s">
        <v>20</v>
      </c>
      <c r="I17" s="62" t="s">
        <v>19</v>
      </c>
      <c r="J17" s="62" t="s">
        <v>20</v>
      </c>
      <c r="K17" s="62" t="s">
        <v>20</v>
      </c>
      <c r="L17" s="62" t="s">
        <v>20</v>
      </c>
      <c r="M17" s="62" t="s">
        <v>20</v>
      </c>
      <c r="N17" s="62" t="s">
        <v>20</v>
      </c>
      <c r="O17" s="62" t="s">
        <v>20</v>
      </c>
      <c r="P17" s="62" t="s">
        <v>20</v>
      </c>
      <c r="Q17" s="62" t="s">
        <v>20</v>
      </c>
      <c r="R17" s="62" t="s">
        <v>20</v>
      </c>
    </row>
    <row r="18" hidden="1">
      <c r="A18" s="66"/>
      <c r="B18" s="59"/>
      <c r="C18" s="67"/>
      <c r="D18" s="61" t="s">
        <v>15</v>
      </c>
      <c r="E18" s="65">
        <f t="shared" ref="E18:R18" si="9">if(E17=$D17,1,0)</f>
        <v>1</v>
      </c>
      <c r="F18" s="65">
        <f t="shared" si="9"/>
        <v>1</v>
      </c>
      <c r="G18" s="65">
        <f t="shared" si="9"/>
        <v>1</v>
      </c>
      <c r="H18" s="65">
        <f t="shared" si="9"/>
        <v>1</v>
      </c>
      <c r="I18" s="65">
        <f t="shared" si="9"/>
        <v>0</v>
      </c>
      <c r="J18" s="65">
        <f t="shared" si="9"/>
        <v>1</v>
      </c>
      <c r="K18" s="65">
        <f t="shared" si="9"/>
        <v>1</v>
      </c>
      <c r="L18" s="65">
        <f t="shared" si="9"/>
        <v>1</v>
      </c>
      <c r="M18" s="65">
        <f t="shared" si="9"/>
        <v>1</v>
      </c>
      <c r="N18" s="65">
        <f t="shared" si="9"/>
        <v>1</v>
      </c>
      <c r="O18" s="65">
        <f t="shared" si="9"/>
        <v>1</v>
      </c>
      <c r="P18" s="65">
        <f t="shared" si="9"/>
        <v>1</v>
      </c>
      <c r="Q18" s="65">
        <f t="shared" si="9"/>
        <v>1</v>
      </c>
      <c r="R18" s="65">
        <f t="shared" si="9"/>
        <v>1</v>
      </c>
    </row>
    <row r="19">
      <c r="A19" s="66">
        <v>9.0</v>
      </c>
      <c r="B19" s="59" t="s">
        <v>41</v>
      </c>
      <c r="C19" s="67" t="s">
        <v>18</v>
      </c>
      <c r="D19" s="61" t="s">
        <v>19</v>
      </c>
      <c r="E19" s="62" t="s">
        <v>20</v>
      </c>
      <c r="F19" s="62" t="s">
        <v>20</v>
      </c>
      <c r="G19" s="62" t="s">
        <v>19</v>
      </c>
      <c r="H19" s="62" t="s">
        <v>19</v>
      </c>
      <c r="I19" s="62" t="s">
        <v>20</v>
      </c>
      <c r="J19" s="62" t="s">
        <v>20</v>
      </c>
      <c r="K19" s="62" t="s">
        <v>19</v>
      </c>
      <c r="L19" s="62" t="s">
        <v>20</v>
      </c>
      <c r="M19" s="62" t="s">
        <v>20</v>
      </c>
      <c r="N19" s="62" t="s">
        <v>20</v>
      </c>
      <c r="O19" s="62" t="s">
        <v>20</v>
      </c>
      <c r="P19" s="62" t="s">
        <v>19</v>
      </c>
      <c r="Q19" s="62" t="s">
        <v>19</v>
      </c>
      <c r="R19" s="62" t="s">
        <v>20</v>
      </c>
    </row>
    <row r="20" hidden="1">
      <c r="A20" s="66"/>
      <c r="B20" s="59"/>
      <c r="C20" s="67"/>
      <c r="D20" s="61" t="s">
        <v>15</v>
      </c>
      <c r="E20" s="65">
        <f t="shared" ref="E20:R20" si="10">if(E19=$D19,1,0)</f>
        <v>0</v>
      </c>
      <c r="F20" s="65">
        <f t="shared" si="10"/>
        <v>0</v>
      </c>
      <c r="G20" s="65">
        <f t="shared" si="10"/>
        <v>1</v>
      </c>
      <c r="H20" s="65">
        <f t="shared" si="10"/>
        <v>1</v>
      </c>
      <c r="I20" s="65">
        <f t="shared" si="10"/>
        <v>0</v>
      </c>
      <c r="J20" s="65">
        <f t="shared" si="10"/>
        <v>0</v>
      </c>
      <c r="K20" s="65">
        <f t="shared" si="10"/>
        <v>1</v>
      </c>
      <c r="L20" s="65">
        <f t="shared" si="10"/>
        <v>0</v>
      </c>
      <c r="M20" s="65">
        <f t="shared" si="10"/>
        <v>0</v>
      </c>
      <c r="N20" s="65">
        <f t="shared" si="10"/>
        <v>0</v>
      </c>
      <c r="O20" s="65">
        <f t="shared" si="10"/>
        <v>0</v>
      </c>
      <c r="P20" s="65">
        <f t="shared" si="10"/>
        <v>1</v>
      </c>
      <c r="Q20" s="65">
        <f t="shared" si="10"/>
        <v>1</v>
      </c>
      <c r="R20" s="65">
        <f t="shared" si="10"/>
        <v>0</v>
      </c>
    </row>
    <row r="21">
      <c r="A21" s="66">
        <v>10.0</v>
      </c>
      <c r="B21" s="59" t="s">
        <v>88</v>
      </c>
      <c r="C21" s="67" t="s">
        <v>89</v>
      </c>
      <c r="D21" s="61" t="s">
        <v>25</v>
      </c>
      <c r="E21" s="62" t="s">
        <v>25</v>
      </c>
      <c r="F21" s="62" t="s">
        <v>44</v>
      </c>
      <c r="G21" s="62" t="s">
        <v>25</v>
      </c>
      <c r="H21" s="62" t="s">
        <v>44</v>
      </c>
      <c r="I21" s="62" t="s">
        <v>44</v>
      </c>
      <c r="J21" s="62" t="s">
        <v>44</v>
      </c>
      <c r="K21" s="62" t="s">
        <v>25</v>
      </c>
      <c r="L21" s="62" t="s">
        <v>44</v>
      </c>
      <c r="M21" s="62" t="s">
        <v>44</v>
      </c>
      <c r="N21" s="62" t="s">
        <v>44</v>
      </c>
      <c r="O21" s="62" t="s">
        <v>44</v>
      </c>
      <c r="P21" s="62" t="s">
        <v>25</v>
      </c>
      <c r="Q21" s="62" t="s">
        <v>44</v>
      </c>
      <c r="R21" s="62" t="s">
        <v>44</v>
      </c>
    </row>
    <row r="22" hidden="1">
      <c r="A22" s="66"/>
      <c r="B22" s="59"/>
      <c r="C22" s="67"/>
      <c r="D22" s="61" t="s">
        <v>15</v>
      </c>
      <c r="E22" s="65">
        <f t="shared" ref="E22:R22" si="11">if(E21=$D21,1,0)</f>
        <v>1</v>
      </c>
      <c r="F22" s="65">
        <f t="shared" si="11"/>
        <v>0</v>
      </c>
      <c r="G22" s="65">
        <f t="shared" si="11"/>
        <v>1</v>
      </c>
      <c r="H22" s="65">
        <f t="shared" si="11"/>
        <v>0</v>
      </c>
      <c r="I22" s="65">
        <f t="shared" si="11"/>
        <v>0</v>
      </c>
      <c r="J22" s="65">
        <f t="shared" si="11"/>
        <v>0</v>
      </c>
      <c r="K22" s="65">
        <f t="shared" si="11"/>
        <v>1</v>
      </c>
      <c r="L22" s="65">
        <f t="shared" si="11"/>
        <v>0</v>
      </c>
      <c r="M22" s="65">
        <f t="shared" si="11"/>
        <v>0</v>
      </c>
      <c r="N22" s="65">
        <f t="shared" si="11"/>
        <v>0</v>
      </c>
      <c r="O22" s="65">
        <f t="shared" si="11"/>
        <v>0</v>
      </c>
      <c r="P22" s="65">
        <f t="shared" si="11"/>
        <v>1</v>
      </c>
      <c r="Q22" s="65">
        <f t="shared" si="11"/>
        <v>0</v>
      </c>
      <c r="R22" s="65">
        <f t="shared" si="11"/>
        <v>0</v>
      </c>
    </row>
    <row r="23">
      <c r="A23" s="66">
        <v>11.0</v>
      </c>
      <c r="B23" s="59" t="s">
        <v>90</v>
      </c>
      <c r="C23" s="67" t="s">
        <v>18</v>
      </c>
      <c r="D23" s="61" t="s">
        <v>20</v>
      </c>
      <c r="E23" s="62" t="s">
        <v>19</v>
      </c>
      <c r="F23" s="62" t="s">
        <v>19</v>
      </c>
      <c r="G23" s="62" t="s">
        <v>20</v>
      </c>
      <c r="H23" s="62" t="s">
        <v>19</v>
      </c>
      <c r="I23" s="62" t="s">
        <v>19</v>
      </c>
      <c r="J23" s="62" t="s">
        <v>19</v>
      </c>
      <c r="K23" s="62" t="s">
        <v>19</v>
      </c>
      <c r="L23" s="62" t="s">
        <v>20</v>
      </c>
      <c r="M23" s="62" t="s">
        <v>19</v>
      </c>
      <c r="N23" s="62" t="s">
        <v>19</v>
      </c>
      <c r="O23" s="62" t="s">
        <v>19</v>
      </c>
      <c r="P23" s="62" t="s">
        <v>19</v>
      </c>
      <c r="Q23" s="62" t="s">
        <v>20</v>
      </c>
      <c r="R23" s="62" t="s">
        <v>20</v>
      </c>
    </row>
    <row r="24" hidden="1">
      <c r="A24" s="66"/>
      <c r="B24" s="59"/>
      <c r="C24" s="67"/>
      <c r="D24" s="61" t="s">
        <v>15</v>
      </c>
      <c r="E24" s="65">
        <f t="shared" ref="E24:R24" si="12">if(E23=$D23,1,0)</f>
        <v>0</v>
      </c>
      <c r="F24" s="65">
        <f t="shared" si="12"/>
        <v>0</v>
      </c>
      <c r="G24" s="65">
        <f t="shared" si="12"/>
        <v>1</v>
      </c>
      <c r="H24" s="65">
        <f t="shared" si="12"/>
        <v>0</v>
      </c>
      <c r="I24" s="65">
        <f t="shared" si="12"/>
        <v>0</v>
      </c>
      <c r="J24" s="65">
        <f t="shared" si="12"/>
        <v>0</v>
      </c>
      <c r="K24" s="65">
        <f t="shared" si="12"/>
        <v>0</v>
      </c>
      <c r="L24" s="65">
        <f t="shared" si="12"/>
        <v>1</v>
      </c>
      <c r="M24" s="65">
        <f t="shared" si="12"/>
        <v>0</v>
      </c>
      <c r="N24" s="65">
        <f t="shared" si="12"/>
        <v>0</v>
      </c>
      <c r="O24" s="65">
        <f t="shared" si="12"/>
        <v>0</v>
      </c>
      <c r="P24" s="65">
        <f t="shared" si="12"/>
        <v>0</v>
      </c>
      <c r="Q24" s="65">
        <f t="shared" si="12"/>
        <v>1</v>
      </c>
      <c r="R24" s="65">
        <f t="shared" si="12"/>
        <v>1</v>
      </c>
    </row>
    <row r="25">
      <c r="A25" s="66">
        <v>12.0</v>
      </c>
      <c r="B25" s="59" t="s">
        <v>91</v>
      </c>
      <c r="C25" s="67" t="s">
        <v>18</v>
      </c>
      <c r="D25" s="61" t="s">
        <v>19</v>
      </c>
      <c r="E25" s="62" t="s">
        <v>20</v>
      </c>
      <c r="F25" s="62" t="s">
        <v>19</v>
      </c>
      <c r="G25" s="62" t="s">
        <v>19</v>
      </c>
      <c r="H25" s="62" t="s">
        <v>20</v>
      </c>
      <c r="I25" s="62" t="s">
        <v>20</v>
      </c>
      <c r="J25" s="62" t="s">
        <v>20</v>
      </c>
      <c r="K25" s="62" t="s">
        <v>19</v>
      </c>
      <c r="L25" s="62" t="s">
        <v>20</v>
      </c>
      <c r="M25" s="62" t="s">
        <v>20</v>
      </c>
      <c r="N25" s="62" t="s">
        <v>20</v>
      </c>
      <c r="O25" s="62" t="s">
        <v>20</v>
      </c>
      <c r="P25" s="62" t="s">
        <v>19</v>
      </c>
      <c r="Q25" s="62" t="s">
        <v>19</v>
      </c>
      <c r="R25" s="62" t="s">
        <v>19</v>
      </c>
    </row>
    <row r="26" hidden="1">
      <c r="A26" s="66"/>
      <c r="B26" s="59"/>
      <c r="C26" s="67"/>
      <c r="D26" s="61"/>
      <c r="E26" s="65">
        <f t="shared" ref="E26:R26" si="13">if(E25=$D25,1,0)</f>
        <v>0</v>
      </c>
      <c r="F26" s="65">
        <f t="shared" si="13"/>
        <v>1</v>
      </c>
      <c r="G26" s="65">
        <f t="shared" si="13"/>
        <v>1</v>
      </c>
      <c r="H26" s="65">
        <f t="shared" si="13"/>
        <v>0</v>
      </c>
      <c r="I26" s="65">
        <f t="shared" si="13"/>
        <v>0</v>
      </c>
      <c r="J26" s="65">
        <f t="shared" si="13"/>
        <v>0</v>
      </c>
      <c r="K26" s="65">
        <f t="shared" si="13"/>
        <v>1</v>
      </c>
      <c r="L26" s="65">
        <f t="shared" si="13"/>
        <v>0</v>
      </c>
      <c r="M26" s="65">
        <f t="shared" si="13"/>
        <v>0</v>
      </c>
      <c r="N26" s="65">
        <f t="shared" si="13"/>
        <v>0</v>
      </c>
      <c r="O26" s="65">
        <f t="shared" si="13"/>
        <v>0</v>
      </c>
      <c r="P26" s="65">
        <f t="shared" si="13"/>
        <v>1</v>
      </c>
      <c r="Q26" s="65">
        <f t="shared" si="13"/>
        <v>1</v>
      </c>
      <c r="R26" s="65">
        <f t="shared" si="13"/>
        <v>1</v>
      </c>
    </row>
    <row r="27">
      <c r="A27" s="66">
        <v>13.0</v>
      </c>
      <c r="B27" s="59" t="s">
        <v>80</v>
      </c>
      <c r="C27" s="67" t="s">
        <v>33</v>
      </c>
      <c r="D27" s="61" t="s">
        <v>35</v>
      </c>
      <c r="E27" s="62" t="s">
        <v>34</v>
      </c>
      <c r="F27" s="62" t="s">
        <v>35</v>
      </c>
      <c r="G27" s="62" t="s">
        <v>35</v>
      </c>
      <c r="H27" s="62" t="s">
        <v>35</v>
      </c>
      <c r="I27" s="62" t="s">
        <v>34</v>
      </c>
      <c r="J27" s="62" t="s">
        <v>35</v>
      </c>
      <c r="K27" s="62" t="s">
        <v>34</v>
      </c>
      <c r="L27" s="62" t="s">
        <v>35</v>
      </c>
      <c r="M27" s="62" t="s">
        <v>35</v>
      </c>
      <c r="N27" s="62" t="s">
        <v>35</v>
      </c>
      <c r="O27" s="62" t="s">
        <v>34</v>
      </c>
      <c r="P27" s="62" t="s">
        <v>35</v>
      </c>
      <c r="Q27" s="62" t="s">
        <v>35</v>
      </c>
      <c r="R27" s="62" t="s">
        <v>35</v>
      </c>
    </row>
    <row r="28" hidden="1">
      <c r="A28" s="66"/>
      <c r="B28" s="59"/>
      <c r="C28" s="67"/>
      <c r="D28" s="61" t="s">
        <v>15</v>
      </c>
      <c r="E28" s="65">
        <f t="shared" ref="E28:R28" si="14">if(E27=$D27,1,0)</f>
        <v>0</v>
      </c>
      <c r="F28" s="65">
        <f t="shared" si="14"/>
        <v>1</v>
      </c>
      <c r="G28" s="65">
        <f t="shared" si="14"/>
        <v>1</v>
      </c>
      <c r="H28" s="65">
        <f t="shared" si="14"/>
        <v>1</v>
      </c>
      <c r="I28" s="65">
        <f t="shared" si="14"/>
        <v>0</v>
      </c>
      <c r="J28" s="65">
        <f t="shared" si="14"/>
        <v>1</v>
      </c>
      <c r="K28" s="65">
        <f t="shared" si="14"/>
        <v>0</v>
      </c>
      <c r="L28" s="65">
        <f t="shared" si="14"/>
        <v>1</v>
      </c>
      <c r="M28" s="65">
        <f t="shared" si="14"/>
        <v>1</v>
      </c>
      <c r="N28" s="65">
        <f t="shared" si="14"/>
        <v>1</v>
      </c>
      <c r="O28" s="65">
        <f t="shared" si="14"/>
        <v>0</v>
      </c>
      <c r="P28" s="65">
        <f t="shared" si="14"/>
        <v>1</v>
      </c>
      <c r="Q28" s="65">
        <f t="shared" si="14"/>
        <v>1</v>
      </c>
      <c r="R28" s="65">
        <f t="shared" si="14"/>
        <v>1</v>
      </c>
    </row>
    <row r="29">
      <c r="A29" s="66">
        <v>14.0</v>
      </c>
      <c r="B29" s="59" t="s">
        <v>92</v>
      </c>
      <c r="C29" s="67" t="s">
        <v>33</v>
      </c>
      <c r="D29" s="61" t="s">
        <v>34</v>
      </c>
      <c r="E29" s="62" t="s">
        <v>34</v>
      </c>
      <c r="F29" s="62" t="s">
        <v>34</v>
      </c>
      <c r="G29" s="62" t="s">
        <v>35</v>
      </c>
      <c r="H29" s="62" t="s">
        <v>34</v>
      </c>
      <c r="I29" s="62" t="s">
        <v>34</v>
      </c>
      <c r="J29" s="62" t="s">
        <v>34</v>
      </c>
      <c r="K29" s="62" t="s">
        <v>34</v>
      </c>
      <c r="L29" s="62" t="s">
        <v>35</v>
      </c>
      <c r="M29" s="62" t="s">
        <v>35</v>
      </c>
      <c r="N29" s="62" t="s">
        <v>35</v>
      </c>
      <c r="O29" s="62" t="s">
        <v>34</v>
      </c>
      <c r="P29" s="62" t="s">
        <v>35</v>
      </c>
      <c r="Q29" s="62" t="s">
        <v>34</v>
      </c>
      <c r="R29" s="62" t="s">
        <v>34</v>
      </c>
    </row>
    <row r="30" hidden="1">
      <c r="A30" s="66"/>
      <c r="B30" s="59"/>
      <c r="C30" s="67"/>
      <c r="D30" s="61" t="s">
        <v>15</v>
      </c>
      <c r="E30" s="65">
        <f t="shared" ref="E30:R30" si="15">if(E29=$D29,1,0)</f>
        <v>1</v>
      </c>
      <c r="F30" s="65">
        <f t="shared" si="15"/>
        <v>1</v>
      </c>
      <c r="G30" s="65">
        <f t="shared" si="15"/>
        <v>0</v>
      </c>
      <c r="H30" s="65">
        <f t="shared" si="15"/>
        <v>1</v>
      </c>
      <c r="I30" s="65">
        <f t="shared" si="15"/>
        <v>1</v>
      </c>
      <c r="J30" s="65">
        <f t="shared" si="15"/>
        <v>1</v>
      </c>
      <c r="K30" s="65">
        <f t="shared" si="15"/>
        <v>1</v>
      </c>
      <c r="L30" s="65">
        <f t="shared" si="15"/>
        <v>0</v>
      </c>
      <c r="M30" s="65">
        <f t="shared" si="15"/>
        <v>0</v>
      </c>
      <c r="N30" s="65">
        <f t="shared" si="15"/>
        <v>0</v>
      </c>
      <c r="O30" s="65">
        <f t="shared" si="15"/>
        <v>1</v>
      </c>
      <c r="P30" s="65">
        <f t="shared" si="15"/>
        <v>0</v>
      </c>
      <c r="Q30" s="65">
        <f t="shared" si="15"/>
        <v>1</v>
      </c>
      <c r="R30" s="65">
        <f t="shared" si="15"/>
        <v>1</v>
      </c>
    </row>
    <row r="31">
      <c r="A31" s="66">
        <v>15.0</v>
      </c>
      <c r="B31" s="59" t="s">
        <v>82</v>
      </c>
      <c r="C31" s="67" t="s">
        <v>18</v>
      </c>
      <c r="D31" s="61" t="s">
        <v>20</v>
      </c>
      <c r="E31" s="62" t="s">
        <v>19</v>
      </c>
      <c r="F31" s="62" t="s">
        <v>19</v>
      </c>
      <c r="G31" s="62" t="s">
        <v>19</v>
      </c>
      <c r="H31" s="62" t="s">
        <v>19</v>
      </c>
      <c r="I31" s="62" t="s">
        <v>19</v>
      </c>
      <c r="J31" s="62" t="s">
        <v>20</v>
      </c>
      <c r="K31" s="62" t="s">
        <v>19</v>
      </c>
      <c r="L31" s="62" t="s">
        <v>20</v>
      </c>
      <c r="M31" s="62" t="s">
        <v>19</v>
      </c>
      <c r="N31" s="62" t="s">
        <v>19</v>
      </c>
      <c r="O31" s="62" t="s">
        <v>20</v>
      </c>
      <c r="P31" s="62" t="s">
        <v>19</v>
      </c>
      <c r="Q31" s="62" t="s">
        <v>19</v>
      </c>
      <c r="R31" s="62" t="s">
        <v>19</v>
      </c>
    </row>
    <row r="32" hidden="1">
      <c r="A32" s="66"/>
      <c r="B32" s="59"/>
      <c r="C32" s="67"/>
      <c r="D32" s="61" t="s">
        <v>15</v>
      </c>
      <c r="E32" s="68">
        <f t="shared" ref="E32:R32" si="16">if(E31=$D31,1,0)</f>
        <v>0</v>
      </c>
      <c r="F32" s="68">
        <f t="shared" si="16"/>
        <v>0</v>
      </c>
      <c r="G32" s="68">
        <f t="shared" si="16"/>
        <v>0</v>
      </c>
      <c r="H32" s="68">
        <f t="shared" si="16"/>
        <v>0</v>
      </c>
      <c r="I32" s="68">
        <f t="shared" si="16"/>
        <v>0</v>
      </c>
      <c r="J32" s="68">
        <f t="shared" si="16"/>
        <v>1</v>
      </c>
      <c r="K32" s="68">
        <f t="shared" si="16"/>
        <v>0</v>
      </c>
      <c r="L32" s="68">
        <f t="shared" si="16"/>
        <v>1</v>
      </c>
      <c r="M32" s="68">
        <f t="shared" si="16"/>
        <v>0</v>
      </c>
      <c r="N32" s="68">
        <f t="shared" si="16"/>
        <v>0</v>
      </c>
      <c r="O32" s="68">
        <f t="shared" si="16"/>
        <v>1</v>
      </c>
      <c r="P32" s="68">
        <f t="shared" si="16"/>
        <v>0</v>
      </c>
      <c r="Q32" s="68">
        <f t="shared" si="16"/>
        <v>0</v>
      </c>
      <c r="R32" s="68">
        <f t="shared" si="16"/>
        <v>0</v>
      </c>
    </row>
    <row r="33">
      <c r="A33" s="66">
        <v>16.0</v>
      </c>
      <c r="B33" s="59" t="s">
        <v>53</v>
      </c>
      <c r="C33" s="67" t="s">
        <v>33</v>
      </c>
      <c r="D33" s="61" t="s">
        <v>35</v>
      </c>
      <c r="E33" s="62" t="s">
        <v>35</v>
      </c>
      <c r="F33" s="62" t="s">
        <v>35</v>
      </c>
      <c r="G33" s="62" t="s">
        <v>35</v>
      </c>
      <c r="H33" s="62" t="s">
        <v>35</v>
      </c>
      <c r="I33" s="62" t="s">
        <v>34</v>
      </c>
      <c r="J33" s="62" t="s">
        <v>34</v>
      </c>
      <c r="K33" s="62" t="s">
        <v>34</v>
      </c>
      <c r="L33" s="62" t="s">
        <v>35</v>
      </c>
      <c r="M33" s="62" t="s">
        <v>34</v>
      </c>
      <c r="N33" s="62" t="s">
        <v>34</v>
      </c>
      <c r="O33" s="62" t="s">
        <v>35</v>
      </c>
      <c r="P33" s="62" t="s">
        <v>35</v>
      </c>
      <c r="Q33" s="62" t="s">
        <v>34</v>
      </c>
      <c r="R33" s="62" t="s">
        <v>35</v>
      </c>
    </row>
    <row r="34" hidden="1">
      <c r="A34" s="66"/>
      <c r="B34" s="59"/>
      <c r="C34" s="67"/>
      <c r="D34" s="61" t="s">
        <v>15</v>
      </c>
      <c r="E34" s="65">
        <f t="shared" ref="E34:R34" si="17">if(E33=$D33,1,0)</f>
        <v>1</v>
      </c>
      <c r="F34" s="65">
        <f t="shared" si="17"/>
        <v>1</v>
      </c>
      <c r="G34" s="65">
        <f t="shared" si="17"/>
        <v>1</v>
      </c>
      <c r="H34" s="65">
        <f t="shared" si="17"/>
        <v>1</v>
      </c>
      <c r="I34" s="65">
        <f t="shared" si="17"/>
        <v>0</v>
      </c>
      <c r="J34" s="65">
        <f t="shared" si="17"/>
        <v>0</v>
      </c>
      <c r="K34" s="65">
        <f t="shared" si="17"/>
        <v>0</v>
      </c>
      <c r="L34" s="65">
        <f t="shared" si="17"/>
        <v>1</v>
      </c>
      <c r="M34" s="65">
        <f t="shared" si="17"/>
        <v>0</v>
      </c>
      <c r="N34" s="65">
        <f t="shared" si="17"/>
        <v>0</v>
      </c>
      <c r="O34" s="65">
        <f t="shared" si="17"/>
        <v>1</v>
      </c>
      <c r="P34" s="65">
        <f t="shared" si="17"/>
        <v>1</v>
      </c>
      <c r="Q34" s="65">
        <f t="shared" si="17"/>
        <v>0</v>
      </c>
      <c r="R34" s="65">
        <f t="shared" si="17"/>
        <v>1</v>
      </c>
    </row>
    <row r="35">
      <c r="A35" s="66">
        <v>17.0</v>
      </c>
      <c r="B35" s="59" t="s">
        <v>54</v>
      </c>
      <c r="C35" s="67" t="s">
        <v>28</v>
      </c>
      <c r="D35" s="61" t="s">
        <v>30</v>
      </c>
      <c r="E35" s="62" t="s">
        <v>29</v>
      </c>
      <c r="F35" s="62" t="s">
        <v>29</v>
      </c>
      <c r="G35" s="62" t="s">
        <v>30</v>
      </c>
      <c r="H35" s="62" t="s">
        <v>29</v>
      </c>
      <c r="I35" s="62" t="s">
        <v>29</v>
      </c>
      <c r="J35" s="62" t="s">
        <v>29</v>
      </c>
      <c r="K35" s="62" t="s">
        <v>29</v>
      </c>
      <c r="L35" s="62" t="s">
        <v>30</v>
      </c>
      <c r="M35" s="62" t="s">
        <v>30</v>
      </c>
      <c r="N35" s="62" t="s">
        <v>30</v>
      </c>
      <c r="O35" s="62" t="s">
        <v>29</v>
      </c>
      <c r="P35" s="62" t="s">
        <v>30</v>
      </c>
      <c r="Q35" s="62" t="s">
        <v>29</v>
      </c>
      <c r="R35" s="62" t="s">
        <v>30</v>
      </c>
    </row>
    <row r="36" hidden="1">
      <c r="A36" s="66"/>
      <c r="B36" s="59"/>
      <c r="C36" s="67"/>
      <c r="D36" s="61" t="s">
        <v>15</v>
      </c>
      <c r="E36" s="65">
        <f t="shared" ref="E36:R36" si="18">if(E35=$D35,1,0)</f>
        <v>0</v>
      </c>
      <c r="F36" s="65">
        <f t="shared" si="18"/>
        <v>0</v>
      </c>
      <c r="G36" s="65">
        <f t="shared" si="18"/>
        <v>1</v>
      </c>
      <c r="H36" s="65">
        <f t="shared" si="18"/>
        <v>0</v>
      </c>
      <c r="I36" s="65">
        <f t="shared" si="18"/>
        <v>0</v>
      </c>
      <c r="J36" s="65">
        <f t="shared" si="18"/>
        <v>0</v>
      </c>
      <c r="K36" s="65">
        <f t="shared" si="18"/>
        <v>0</v>
      </c>
      <c r="L36" s="65">
        <f t="shared" si="18"/>
        <v>1</v>
      </c>
      <c r="M36" s="65">
        <f t="shared" si="18"/>
        <v>1</v>
      </c>
      <c r="N36" s="65">
        <f t="shared" si="18"/>
        <v>1</v>
      </c>
      <c r="O36" s="65">
        <f t="shared" si="18"/>
        <v>0</v>
      </c>
      <c r="P36" s="65">
        <f t="shared" si="18"/>
        <v>1</v>
      </c>
      <c r="Q36" s="65">
        <f t="shared" si="18"/>
        <v>0</v>
      </c>
      <c r="R36" s="65">
        <f t="shared" si="18"/>
        <v>1</v>
      </c>
    </row>
    <row r="37">
      <c r="A37" s="66">
        <v>18.0</v>
      </c>
      <c r="B37" s="59" t="s">
        <v>55</v>
      </c>
      <c r="C37" s="67" t="s">
        <v>56</v>
      </c>
      <c r="D37" s="61" t="s">
        <v>19</v>
      </c>
      <c r="E37" s="62" t="s">
        <v>57</v>
      </c>
      <c r="F37" s="62" t="s">
        <v>57</v>
      </c>
      <c r="G37" s="62" t="s">
        <v>57</v>
      </c>
      <c r="H37" s="62" t="s">
        <v>19</v>
      </c>
      <c r="I37" s="62" t="s">
        <v>57</v>
      </c>
      <c r="J37" s="62" t="s">
        <v>57</v>
      </c>
      <c r="K37" s="62" t="s">
        <v>19</v>
      </c>
      <c r="L37" s="62" t="s">
        <v>57</v>
      </c>
      <c r="M37" s="62" t="s">
        <v>19</v>
      </c>
      <c r="N37" s="62" t="s">
        <v>19</v>
      </c>
      <c r="O37" s="62" t="s">
        <v>57</v>
      </c>
      <c r="P37" s="62" t="s">
        <v>19</v>
      </c>
      <c r="Q37" s="62" t="s">
        <v>19</v>
      </c>
      <c r="R37" s="62" t="s">
        <v>19</v>
      </c>
    </row>
    <row r="38" hidden="1">
      <c r="A38" s="66"/>
      <c r="B38" s="59"/>
      <c r="C38" s="67"/>
      <c r="D38" s="61" t="s">
        <v>15</v>
      </c>
      <c r="E38" s="65">
        <f t="shared" ref="E38:R38" si="19">if(E37=$D37,1,0)</f>
        <v>0</v>
      </c>
      <c r="F38" s="65">
        <f t="shared" si="19"/>
        <v>0</v>
      </c>
      <c r="G38" s="65">
        <f t="shared" si="19"/>
        <v>0</v>
      </c>
      <c r="H38" s="65">
        <f t="shared" si="19"/>
        <v>1</v>
      </c>
      <c r="I38" s="65">
        <f t="shared" si="19"/>
        <v>0</v>
      </c>
      <c r="J38" s="65">
        <f t="shared" si="19"/>
        <v>0</v>
      </c>
      <c r="K38" s="65">
        <f t="shared" si="19"/>
        <v>1</v>
      </c>
      <c r="L38" s="65">
        <f t="shared" si="19"/>
        <v>0</v>
      </c>
      <c r="M38" s="65">
        <f t="shared" si="19"/>
        <v>1</v>
      </c>
      <c r="N38" s="65">
        <f t="shared" si="19"/>
        <v>1</v>
      </c>
      <c r="O38" s="65">
        <f t="shared" si="19"/>
        <v>0</v>
      </c>
      <c r="P38" s="65">
        <f t="shared" si="19"/>
        <v>1</v>
      </c>
      <c r="Q38" s="65">
        <f t="shared" si="19"/>
        <v>1</v>
      </c>
      <c r="R38" s="65">
        <f t="shared" si="19"/>
        <v>1</v>
      </c>
    </row>
    <row r="39">
      <c r="A39" s="66">
        <v>19.0</v>
      </c>
      <c r="B39" s="59" t="s">
        <v>58</v>
      </c>
      <c r="C39" s="67" t="s">
        <v>28</v>
      </c>
      <c r="D39" s="61" t="s">
        <v>30</v>
      </c>
      <c r="E39" s="62" t="s">
        <v>29</v>
      </c>
      <c r="F39" s="62" t="s">
        <v>29</v>
      </c>
      <c r="G39" s="62" t="s">
        <v>30</v>
      </c>
      <c r="H39" s="62" t="s">
        <v>30</v>
      </c>
      <c r="I39" s="62" t="s">
        <v>30</v>
      </c>
      <c r="J39" s="62" t="s">
        <v>29</v>
      </c>
      <c r="K39" s="62" t="s">
        <v>29</v>
      </c>
      <c r="L39" s="62" t="s">
        <v>30</v>
      </c>
      <c r="M39" s="62" t="s">
        <v>29</v>
      </c>
      <c r="N39" s="62" t="s">
        <v>30</v>
      </c>
      <c r="O39" s="62" t="s">
        <v>29</v>
      </c>
      <c r="P39" s="62" t="s">
        <v>29</v>
      </c>
      <c r="Q39" s="62" t="s">
        <v>30</v>
      </c>
      <c r="R39" s="62" t="s">
        <v>30</v>
      </c>
    </row>
    <row r="40" hidden="1">
      <c r="A40" s="66"/>
      <c r="B40" s="59"/>
      <c r="C40" s="67"/>
      <c r="D40" s="61" t="s">
        <v>15</v>
      </c>
      <c r="E40" s="65">
        <f t="shared" ref="E40:R40" si="20">if(E39=$D39,1,0)</f>
        <v>0</v>
      </c>
      <c r="F40" s="65">
        <f t="shared" si="20"/>
        <v>0</v>
      </c>
      <c r="G40" s="65">
        <f t="shared" si="20"/>
        <v>1</v>
      </c>
      <c r="H40" s="65">
        <f t="shared" si="20"/>
        <v>1</v>
      </c>
      <c r="I40" s="65">
        <f t="shared" si="20"/>
        <v>1</v>
      </c>
      <c r="J40" s="65">
        <f t="shared" si="20"/>
        <v>0</v>
      </c>
      <c r="K40" s="65">
        <f t="shared" si="20"/>
        <v>0</v>
      </c>
      <c r="L40" s="65">
        <f t="shared" si="20"/>
        <v>1</v>
      </c>
      <c r="M40" s="65">
        <f t="shared" si="20"/>
        <v>0</v>
      </c>
      <c r="N40" s="65">
        <f t="shared" si="20"/>
        <v>1</v>
      </c>
      <c r="O40" s="65">
        <f t="shared" si="20"/>
        <v>0</v>
      </c>
      <c r="P40" s="65">
        <f t="shared" si="20"/>
        <v>0</v>
      </c>
      <c r="Q40" s="65">
        <f t="shared" si="20"/>
        <v>1</v>
      </c>
      <c r="R40" s="65">
        <f t="shared" si="20"/>
        <v>1</v>
      </c>
    </row>
    <row r="41">
      <c r="A41" s="66">
        <v>20.0</v>
      </c>
      <c r="B41" s="59" t="s">
        <v>68</v>
      </c>
      <c r="C41" s="67"/>
      <c r="D41" s="61" t="s">
        <v>15</v>
      </c>
      <c r="E41" s="62">
        <v>41.0</v>
      </c>
      <c r="F41" s="62">
        <v>52.0</v>
      </c>
      <c r="G41" s="62">
        <v>54.0</v>
      </c>
      <c r="H41" s="62">
        <v>49.0</v>
      </c>
      <c r="I41" s="62">
        <v>42.0</v>
      </c>
      <c r="J41" s="62">
        <v>38.0</v>
      </c>
      <c r="K41" s="62">
        <v>56.0</v>
      </c>
      <c r="L41" s="62">
        <v>31.0</v>
      </c>
      <c r="M41" s="62">
        <v>49.0</v>
      </c>
      <c r="N41" s="62">
        <v>24.0</v>
      </c>
      <c r="O41" s="62">
        <v>47.0</v>
      </c>
      <c r="P41" s="62">
        <v>60.0</v>
      </c>
      <c r="Q41" s="62">
        <v>57.0</v>
      </c>
      <c r="R41" s="62">
        <v>58.0</v>
      </c>
    </row>
    <row r="42">
      <c r="A42" s="66"/>
      <c r="B42" s="59"/>
      <c r="C42" s="67"/>
      <c r="D42" s="62"/>
      <c r="E42" s="62"/>
      <c r="F42" s="62"/>
      <c r="G42" s="62"/>
      <c r="H42" s="62"/>
      <c r="I42" s="62"/>
      <c r="J42" s="62"/>
      <c r="K42" s="62"/>
      <c r="L42" s="62"/>
      <c r="M42" s="62"/>
      <c r="N42" s="62"/>
      <c r="O42" s="62"/>
      <c r="P42" s="62"/>
      <c r="Q42" s="62"/>
      <c r="R42" s="62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</row>
  </sheetData>
  <mergeCells count="1">
    <mergeCell ref="A1:D1"/>
  </mergeCells>
  <conditionalFormatting sqref="B2">
    <cfRule type="expression" dxfId="0" priority="1">
      <formula>RegExMatch((#REF!),"Done")</formula>
    </cfRule>
  </conditionalFormatting>
  <conditionalFormatting sqref="A2:A46">
    <cfRule type="expression" dxfId="0" priority="2">
      <formula>RegExMatch(($D2),"Done")</formula>
    </cfRule>
  </conditionalFormatting>
  <conditionalFormatting sqref="C3">
    <cfRule type="notContainsBlanks" dxfId="1" priority="3">
      <formula>LEN(TRIM(C3))&gt;0</formula>
    </cfRule>
  </conditionalFormatting>
  <conditionalFormatting sqref="E5:R5">
    <cfRule type="cellIs" dxfId="2" priority="4" operator="equal">
      <formula>$D$5</formula>
    </cfRule>
  </conditionalFormatting>
  <conditionalFormatting sqref="E7:R7">
    <cfRule type="cellIs" dxfId="2" priority="5" operator="equal">
      <formula>$D$7</formula>
    </cfRule>
  </conditionalFormatting>
  <conditionalFormatting sqref="E9:R9">
    <cfRule type="cellIs" dxfId="2" priority="6" operator="equal">
      <formula>$D$9</formula>
    </cfRule>
  </conditionalFormatting>
  <conditionalFormatting sqref="E11:R11">
    <cfRule type="cellIs" dxfId="2" priority="7" operator="equal">
      <formula>$D$11</formula>
    </cfRule>
  </conditionalFormatting>
  <conditionalFormatting sqref="E13:R13">
    <cfRule type="cellIs" dxfId="2" priority="8" operator="equal">
      <formula>$D$13</formula>
    </cfRule>
  </conditionalFormatting>
  <conditionalFormatting sqref="E15:R15">
    <cfRule type="cellIs" dxfId="2" priority="9" operator="equal">
      <formula>$D$15</formula>
    </cfRule>
  </conditionalFormatting>
  <conditionalFormatting sqref="E17:R17">
    <cfRule type="cellIs" dxfId="2" priority="10" operator="equal">
      <formula>$D$17</formula>
    </cfRule>
  </conditionalFormatting>
  <conditionalFormatting sqref="E19:R19">
    <cfRule type="cellIs" dxfId="2" priority="11" operator="equal">
      <formula>$D$19</formula>
    </cfRule>
  </conditionalFormatting>
  <conditionalFormatting sqref="E21:R21">
    <cfRule type="cellIs" dxfId="2" priority="12" operator="equal">
      <formula>$D$21</formula>
    </cfRule>
  </conditionalFormatting>
  <conditionalFormatting sqref="E23:R23">
    <cfRule type="cellIs" dxfId="2" priority="13" operator="equal">
      <formula>$D$23</formula>
    </cfRule>
  </conditionalFormatting>
  <conditionalFormatting sqref="E25:R25">
    <cfRule type="cellIs" dxfId="2" priority="14" operator="equal">
      <formula>$D$25</formula>
    </cfRule>
  </conditionalFormatting>
  <conditionalFormatting sqref="E27:R27">
    <cfRule type="cellIs" dxfId="2" priority="15" operator="equal">
      <formula>$D$27</formula>
    </cfRule>
  </conditionalFormatting>
  <conditionalFormatting sqref="E29:R29">
    <cfRule type="cellIs" dxfId="2" priority="16" operator="equal">
      <formula>$D$29</formula>
    </cfRule>
  </conditionalFormatting>
  <conditionalFormatting sqref="E31:R31">
    <cfRule type="cellIs" dxfId="2" priority="17" operator="equal">
      <formula>$D$31</formula>
    </cfRule>
  </conditionalFormatting>
  <conditionalFormatting sqref="E33:R33">
    <cfRule type="cellIs" dxfId="2" priority="18" operator="equal">
      <formula>$D$33</formula>
    </cfRule>
  </conditionalFormatting>
  <conditionalFormatting sqref="E35:R35">
    <cfRule type="cellIs" dxfId="2" priority="19" operator="equal">
      <formula>$D$35</formula>
    </cfRule>
  </conditionalFormatting>
  <conditionalFormatting sqref="E37:R37">
    <cfRule type="cellIs" dxfId="2" priority="20" operator="equal">
      <formula>$D$37</formula>
    </cfRule>
  </conditionalFormatting>
  <conditionalFormatting sqref="E39:R39">
    <cfRule type="cellIs" dxfId="2" priority="21" operator="equal">
      <formula>$D$39</formula>
    </cfRule>
  </conditionalFormatting>
  <conditionalFormatting sqref="E3:R3">
    <cfRule type="cellIs" dxfId="6" priority="22" operator="equal">
      <formula>$D$3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5.38"/>
    <col customWidth="1" min="2" max="2" width="21.13"/>
    <col customWidth="1" min="3" max="3" width="8.0"/>
    <col customWidth="1" min="4" max="4" width="6.75"/>
    <col customWidth="1" min="5" max="6" width="8.63"/>
    <col customWidth="1" min="7" max="7" width="8.5"/>
    <col customWidth="1" min="8" max="8" width="10.25"/>
    <col customWidth="1" min="9" max="9" width="9.75"/>
    <col customWidth="1" min="10" max="10" width="10.63"/>
    <col customWidth="1" min="11" max="11" width="7.63"/>
    <col customWidth="1" min="12" max="13" width="8.63"/>
    <col customWidth="1" min="14" max="14" width="4.38"/>
    <col customWidth="1" min="15" max="15" width="12.38"/>
    <col customWidth="1" min="16" max="18" width="8.63"/>
  </cols>
  <sheetData>
    <row r="1" ht="22.5" customHeight="1">
      <c r="A1" s="70"/>
      <c r="B1" s="71">
        <f>NOW()</f>
        <v>46048.40244</v>
      </c>
      <c r="C1" s="72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</row>
    <row r="2">
      <c r="A2" s="49"/>
      <c r="E2" s="49" t="s">
        <v>0</v>
      </c>
      <c r="F2" s="49" t="s">
        <v>1</v>
      </c>
      <c r="G2" s="49" t="s">
        <v>2</v>
      </c>
      <c r="H2" s="49" t="s">
        <v>3</v>
      </c>
      <c r="I2" s="49" t="s">
        <v>4</v>
      </c>
      <c r="J2" s="49" t="s">
        <v>5</v>
      </c>
      <c r="K2" s="49" t="s">
        <v>6</v>
      </c>
      <c r="L2" s="49" t="s">
        <v>7</v>
      </c>
      <c r="M2" s="49" t="s">
        <v>8</v>
      </c>
      <c r="N2" s="49" t="s">
        <v>9</v>
      </c>
      <c r="O2" s="51" t="s">
        <v>10</v>
      </c>
      <c r="P2" s="49" t="s">
        <v>11</v>
      </c>
      <c r="Q2" s="49" t="s">
        <v>12</v>
      </c>
      <c r="R2" s="49" t="s">
        <v>14</v>
      </c>
    </row>
    <row r="3" ht="33.0" customHeight="1">
      <c r="A3" s="52" t="s">
        <v>15</v>
      </c>
      <c r="B3" s="53" t="s">
        <v>15</v>
      </c>
      <c r="C3" s="54" t="s">
        <v>15</v>
      </c>
      <c r="D3" s="55" t="s">
        <v>16</v>
      </c>
      <c r="E3" s="56">
        <f t="shared" ref="E3:R3" si="1">E5+E7+E9+E11+E13+E15+E17+E19+E21+E23+E25+E27+E29+E31+E33+E35+E37+E39+E41</f>
        <v>9</v>
      </c>
      <c r="F3" s="56">
        <f t="shared" si="1"/>
        <v>11</v>
      </c>
      <c r="G3" s="56">
        <f t="shared" si="1"/>
        <v>11</v>
      </c>
      <c r="H3" s="56">
        <f t="shared" si="1"/>
        <v>11</v>
      </c>
      <c r="I3" s="56">
        <f t="shared" si="1"/>
        <v>12</v>
      </c>
      <c r="J3" s="56">
        <f t="shared" si="1"/>
        <v>13</v>
      </c>
      <c r="K3" s="56">
        <f t="shared" si="1"/>
        <v>11</v>
      </c>
      <c r="L3" s="56">
        <f t="shared" si="1"/>
        <v>11</v>
      </c>
      <c r="M3" s="56">
        <f t="shared" si="1"/>
        <v>7</v>
      </c>
      <c r="N3" s="56">
        <f t="shared" si="1"/>
        <v>8</v>
      </c>
      <c r="O3" s="56">
        <f t="shared" si="1"/>
        <v>14</v>
      </c>
      <c r="P3" s="56">
        <f t="shared" si="1"/>
        <v>12</v>
      </c>
      <c r="Q3" s="56">
        <f t="shared" si="1"/>
        <v>7</v>
      </c>
      <c r="R3" s="56">
        <f t="shared" si="1"/>
        <v>9</v>
      </c>
    </row>
    <row r="4" ht="40.5" customHeight="1">
      <c r="A4" s="58">
        <v>1.0</v>
      </c>
      <c r="B4" s="59" t="s">
        <v>93</v>
      </c>
      <c r="C4" s="60" t="s">
        <v>33</v>
      </c>
      <c r="D4" s="61" t="s">
        <v>34</v>
      </c>
      <c r="E4" s="62" t="s">
        <v>34</v>
      </c>
      <c r="F4" s="62" t="s">
        <v>34</v>
      </c>
      <c r="G4" s="62" t="s">
        <v>35</v>
      </c>
      <c r="H4" s="62" t="s">
        <v>34</v>
      </c>
      <c r="I4" s="62" t="s">
        <v>34</v>
      </c>
      <c r="J4" s="62" t="s">
        <v>35</v>
      </c>
      <c r="K4" s="62" t="s">
        <v>35</v>
      </c>
      <c r="L4" s="62" t="s">
        <v>35</v>
      </c>
      <c r="M4" s="62" t="s">
        <v>35</v>
      </c>
      <c r="N4" s="62" t="s">
        <v>35</v>
      </c>
      <c r="O4" s="62" t="s">
        <v>34</v>
      </c>
      <c r="P4" s="62" t="s">
        <v>34</v>
      </c>
      <c r="Q4" s="62" t="s">
        <v>35</v>
      </c>
      <c r="R4" s="62" t="s">
        <v>35</v>
      </c>
    </row>
    <row r="5" ht="21.75" hidden="1" customHeight="1">
      <c r="A5" s="63"/>
      <c r="B5" s="59"/>
      <c r="C5" s="64"/>
      <c r="D5" s="61" t="s">
        <v>15</v>
      </c>
      <c r="E5" s="65">
        <f t="shared" ref="E5:R5" si="2">if(E4=$D$4,1,0)</f>
        <v>1</v>
      </c>
      <c r="F5" s="65">
        <f t="shared" si="2"/>
        <v>1</v>
      </c>
      <c r="G5" s="65">
        <f t="shared" si="2"/>
        <v>0</v>
      </c>
      <c r="H5" s="65">
        <f t="shared" si="2"/>
        <v>1</v>
      </c>
      <c r="I5" s="65">
        <f t="shared" si="2"/>
        <v>1</v>
      </c>
      <c r="J5" s="65">
        <f t="shared" si="2"/>
        <v>0</v>
      </c>
      <c r="K5" s="65">
        <f t="shared" si="2"/>
        <v>0</v>
      </c>
      <c r="L5" s="65">
        <f t="shared" si="2"/>
        <v>0</v>
      </c>
      <c r="M5" s="65">
        <f t="shared" si="2"/>
        <v>0</v>
      </c>
      <c r="N5" s="65">
        <f t="shared" si="2"/>
        <v>0</v>
      </c>
      <c r="O5" s="65">
        <f t="shared" si="2"/>
        <v>1</v>
      </c>
      <c r="P5" s="65">
        <f t="shared" si="2"/>
        <v>1</v>
      </c>
      <c r="Q5" s="65">
        <f t="shared" si="2"/>
        <v>0</v>
      </c>
      <c r="R5" s="65">
        <f t="shared" si="2"/>
        <v>0</v>
      </c>
    </row>
    <row r="6">
      <c r="A6" s="66">
        <v>2.0</v>
      </c>
      <c r="B6" s="59" t="s">
        <v>22</v>
      </c>
      <c r="C6" s="67" t="s">
        <v>23</v>
      </c>
      <c r="D6" s="61" t="s">
        <v>25</v>
      </c>
      <c r="E6" s="62" t="s">
        <v>25</v>
      </c>
      <c r="F6" s="62" t="s">
        <v>24</v>
      </c>
      <c r="G6" s="62" t="s">
        <v>25</v>
      </c>
      <c r="H6" s="62" t="s">
        <v>24</v>
      </c>
      <c r="I6" s="62" t="s">
        <v>25</v>
      </c>
      <c r="J6" s="62" t="s">
        <v>25</v>
      </c>
      <c r="K6" s="62" t="s">
        <v>24</v>
      </c>
      <c r="L6" s="62" t="s">
        <v>24</v>
      </c>
      <c r="M6" s="62" t="s">
        <v>25</v>
      </c>
      <c r="N6" s="62" t="s">
        <v>24</v>
      </c>
      <c r="O6" s="62" t="s">
        <v>25</v>
      </c>
      <c r="P6" s="62" t="s">
        <v>24</v>
      </c>
      <c r="Q6" s="62" t="s">
        <v>24</v>
      </c>
      <c r="R6" s="62" t="s">
        <v>24</v>
      </c>
    </row>
    <row r="7" hidden="1">
      <c r="A7" s="66"/>
      <c r="B7" s="59"/>
      <c r="C7" s="67"/>
      <c r="D7" s="61"/>
      <c r="E7" s="65">
        <f t="shared" ref="E7:P7" si="3">if(E6=$D$6,1,0)</f>
        <v>1</v>
      </c>
      <c r="F7" s="65">
        <f t="shared" si="3"/>
        <v>0</v>
      </c>
      <c r="G7" s="65">
        <f t="shared" si="3"/>
        <v>1</v>
      </c>
      <c r="H7" s="65">
        <f t="shared" si="3"/>
        <v>0</v>
      </c>
      <c r="I7" s="65">
        <f t="shared" si="3"/>
        <v>1</v>
      </c>
      <c r="J7" s="65">
        <f t="shared" si="3"/>
        <v>1</v>
      </c>
      <c r="K7" s="65">
        <f t="shared" si="3"/>
        <v>0</v>
      </c>
      <c r="L7" s="65">
        <f t="shared" si="3"/>
        <v>0</v>
      </c>
      <c r="M7" s="65">
        <f t="shared" si="3"/>
        <v>1</v>
      </c>
      <c r="N7" s="65">
        <f t="shared" si="3"/>
        <v>0</v>
      </c>
      <c r="O7" s="65">
        <f t="shared" si="3"/>
        <v>1</v>
      </c>
      <c r="P7" s="65">
        <f t="shared" si="3"/>
        <v>0</v>
      </c>
      <c r="Q7" s="65"/>
      <c r="R7" s="65"/>
    </row>
    <row r="8">
      <c r="A8" s="66">
        <v>3.0</v>
      </c>
      <c r="B8" s="59" t="s">
        <v>27</v>
      </c>
      <c r="C8" s="67" t="s">
        <v>94</v>
      </c>
      <c r="D8" s="61" t="s">
        <v>95</v>
      </c>
      <c r="E8" s="62" t="s">
        <v>96</v>
      </c>
      <c r="F8" s="62" t="s">
        <v>95</v>
      </c>
      <c r="G8" s="62" t="s">
        <v>96</v>
      </c>
      <c r="H8" s="62" t="s">
        <v>95</v>
      </c>
      <c r="I8" s="62" t="s">
        <v>95</v>
      </c>
      <c r="J8" s="62" t="s">
        <v>95</v>
      </c>
      <c r="K8" s="62" t="s">
        <v>95</v>
      </c>
      <c r="L8" s="62" t="s">
        <v>96</v>
      </c>
      <c r="M8" s="62" t="s">
        <v>96</v>
      </c>
      <c r="N8" s="62" t="s">
        <v>95</v>
      </c>
      <c r="O8" s="62" t="s">
        <v>95</v>
      </c>
      <c r="P8" s="62" t="s">
        <v>95</v>
      </c>
      <c r="Q8" s="62" t="s">
        <v>95</v>
      </c>
      <c r="R8" s="62" t="s">
        <v>95</v>
      </c>
    </row>
    <row r="9" hidden="1">
      <c r="A9" s="66"/>
      <c r="B9" s="59"/>
      <c r="C9" s="67"/>
      <c r="D9" s="61"/>
      <c r="E9" s="65">
        <f t="shared" ref="E9:R9" si="4">if(E8=$D$8,1,0)</f>
        <v>0</v>
      </c>
      <c r="F9" s="65">
        <f t="shared" si="4"/>
        <v>1</v>
      </c>
      <c r="G9" s="65">
        <f t="shared" si="4"/>
        <v>0</v>
      </c>
      <c r="H9" s="65">
        <f t="shared" si="4"/>
        <v>1</v>
      </c>
      <c r="I9" s="65">
        <f t="shared" si="4"/>
        <v>1</v>
      </c>
      <c r="J9" s="65">
        <f t="shared" si="4"/>
        <v>1</v>
      </c>
      <c r="K9" s="65">
        <f t="shared" si="4"/>
        <v>1</v>
      </c>
      <c r="L9" s="65">
        <f t="shared" si="4"/>
        <v>0</v>
      </c>
      <c r="M9" s="65">
        <f t="shared" si="4"/>
        <v>0</v>
      </c>
      <c r="N9" s="65">
        <f t="shared" si="4"/>
        <v>1</v>
      </c>
      <c r="O9" s="65">
        <f t="shared" si="4"/>
        <v>1</v>
      </c>
      <c r="P9" s="65">
        <f t="shared" si="4"/>
        <v>1</v>
      </c>
      <c r="Q9" s="65">
        <f t="shared" si="4"/>
        <v>1</v>
      </c>
      <c r="R9" s="65">
        <f t="shared" si="4"/>
        <v>1</v>
      </c>
    </row>
    <row r="10">
      <c r="A10" s="66">
        <v>4.0</v>
      </c>
      <c r="B10" s="59" t="s">
        <v>32</v>
      </c>
      <c r="C10" s="67" t="s">
        <v>33</v>
      </c>
      <c r="D10" s="61" t="s">
        <v>34</v>
      </c>
      <c r="E10" s="62" t="s">
        <v>35</v>
      </c>
      <c r="F10" s="62" t="s">
        <v>35</v>
      </c>
      <c r="G10" s="62" t="s">
        <v>35</v>
      </c>
      <c r="H10" s="62" t="s">
        <v>35</v>
      </c>
      <c r="I10" s="62" t="s">
        <v>35</v>
      </c>
      <c r="J10" s="62" t="s">
        <v>34</v>
      </c>
      <c r="K10" s="62" t="s">
        <v>35</v>
      </c>
      <c r="L10" s="62" t="s">
        <v>35</v>
      </c>
      <c r="M10" s="62" t="s">
        <v>35</v>
      </c>
      <c r="N10" s="62" t="s">
        <v>35</v>
      </c>
      <c r="O10" s="62" t="s">
        <v>34</v>
      </c>
      <c r="P10" s="62" t="s">
        <v>35</v>
      </c>
      <c r="Q10" s="62" t="s">
        <v>35</v>
      </c>
      <c r="R10" s="62" t="s">
        <v>35</v>
      </c>
    </row>
    <row r="11" hidden="1">
      <c r="A11" s="66"/>
      <c r="B11" s="59"/>
      <c r="C11" s="67"/>
      <c r="D11" s="61"/>
      <c r="E11" s="65">
        <f t="shared" ref="E11:R11" si="5">if(E10=$D10,1,0)</f>
        <v>0</v>
      </c>
      <c r="F11" s="65">
        <f t="shared" si="5"/>
        <v>0</v>
      </c>
      <c r="G11" s="65">
        <f t="shared" si="5"/>
        <v>0</v>
      </c>
      <c r="H11" s="65">
        <f t="shared" si="5"/>
        <v>0</v>
      </c>
      <c r="I11" s="65">
        <f t="shared" si="5"/>
        <v>0</v>
      </c>
      <c r="J11" s="65">
        <f t="shared" si="5"/>
        <v>1</v>
      </c>
      <c r="K11" s="65">
        <f t="shared" si="5"/>
        <v>0</v>
      </c>
      <c r="L11" s="65">
        <f t="shared" si="5"/>
        <v>0</v>
      </c>
      <c r="M11" s="65">
        <f t="shared" si="5"/>
        <v>0</v>
      </c>
      <c r="N11" s="65">
        <f t="shared" si="5"/>
        <v>0</v>
      </c>
      <c r="O11" s="65">
        <f t="shared" si="5"/>
        <v>1</v>
      </c>
      <c r="P11" s="65">
        <f t="shared" si="5"/>
        <v>0</v>
      </c>
      <c r="Q11" s="65">
        <f t="shared" si="5"/>
        <v>0</v>
      </c>
      <c r="R11" s="65">
        <f t="shared" si="5"/>
        <v>0</v>
      </c>
    </row>
    <row r="12">
      <c r="A12" s="66">
        <v>5.0</v>
      </c>
      <c r="B12" s="59" t="s">
        <v>97</v>
      </c>
      <c r="C12" s="67" t="s">
        <v>18</v>
      </c>
      <c r="D12" s="61" t="s">
        <v>20</v>
      </c>
      <c r="E12" s="62" t="s">
        <v>19</v>
      </c>
      <c r="F12" s="62" t="s">
        <v>20</v>
      </c>
      <c r="G12" s="62" t="s">
        <v>19</v>
      </c>
      <c r="H12" s="62" t="s">
        <v>20</v>
      </c>
      <c r="I12" s="62" t="s">
        <v>19</v>
      </c>
      <c r="J12" s="62" t="s">
        <v>19</v>
      </c>
      <c r="K12" s="62" t="s">
        <v>19</v>
      </c>
      <c r="L12" s="62" t="s">
        <v>19</v>
      </c>
      <c r="M12" s="62" t="s">
        <v>19</v>
      </c>
      <c r="N12" s="62" t="s">
        <v>19</v>
      </c>
      <c r="O12" s="62" t="s">
        <v>20</v>
      </c>
      <c r="P12" s="62" t="s">
        <v>20</v>
      </c>
      <c r="Q12" s="62" t="s">
        <v>19</v>
      </c>
      <c r="R12" s="62" t="s">
        <v>20</v>
      </c>
    </row>
    <row r="13" hidden="1">
      <c r="A13" s="66"/>
      <c r="B13" s="59"/>
      <c r="C13" s="67"/>
      <c r="D13" s="61"/>
      <c r="E13" s="65">
        <f t="shared" ref="E13:R13" si="6">if(E12=$D12,1,0)</f>
        <v>0</v>
      </c>
      <c r="F13" s="65">
        <f t="shared" si="6"/>
        <v>1</v>
      </c>
      <c r="G13" s="65">
        <f t="shared" si="6"/>
        <v>0</v>
      </c>
      <c r="H13" s="65">
        <f t="shared" si="6"/>
        <v>1</v>
      </c>
      <c r="I13" s="65">
        <f t="shared" si="6"/>
        <v>0</v>
      </c>
      <c r="J13" s="65">
        <f t="shared" si="6"/>
        <v>0</v>
      </c>
      <c r="K13" s="65">
        <f t="shared" si="6"/>
        <v>0</v>
      </c>
      <c r="L13" s="65">
        <f t="shared" si="6"/>
        <v>0</v>
      </c>
      <c r="M13" s="65">
        <f t="shared" si="6"/>
        <v>0</v>
      </c>
      <c r="N13" s="65">
        <f t="shared" si="6"/>
        <v>0</v>
      </c>
      <c r="O13" s="65">
        <f t="shared" si="6"/>
        <v>1</v>
      </c>
      <c r="P13" s="65">
        <f t="shared" si="6"/>
        <v>1</v>
      </c>
      <c r="Q13" s="65">
        <f t="shared" si="6"/>
        <v>0</v>
      </c>
      <c r="R13" s="65">
        <f t="shared" si="6"/>
        <v>1</v>
      </c>
    </row>
    <row r="14">
      <c r="A14" s="66">
        <v>6.0</v>
      </c>
      <c r="B14" s="59" t="s">
        <v>38</v>
      </c>
      <c r="C14" s="67" t="s">
        <v>94</v>
      </c>
      <c r="D14" s="61" t="s">
        <v>95</v>
      </c>
      <c r="E14" s="62" t="s">
        <v>96</v>
      </c>
      <c r="F14" s="62" t="s">
        <v>96</v>
      </c>
      <c r="G14" s="62" t="s">
        <v>95</v>
      </c>
      <c r="H14" s="62" t="s">
        <v>96</v>
      </c>
      <c r="I14" s="62" t="s">
        <v>96</v>
      </c>
      <c r="J14" s="62" t="s">
        <v>96</v>
      </c>
      <c r="K14" s="62" t="s">
        <v>96</v>
      </c>
      <c r="L14" s="62" t="s">
        <v>95</v>
      </c>
      <c r="M14" s="62" t="s">
        <v>95</v>
      </c>
      <c r="N14" s="62" t="s">
        <v>96</v>
      </c>
      <c r="O14" s="62" t="s">
        <v>95</v>
      </c>
      <c r="P14" s="62" t="s">
        <v>95</v>
      </c>
      <c r="Q14" s="62" t="s">
        <v>96</v>
      </c>
      <c r="R14" s="62" t="s">
        <v>96</v>
      </c>
    </row>
    <row r="15" hidden="1">
      <c r="A15" s="66"/>
      <c r="B15" s="59"/>
      <c r="C15" s="67"/>
      <c r="D15" s="61" t="s">
        <v>15</v>
      </c>
      <c r="E15" s="65">
        <f t="shared" ref="E15:R15" si="7">if(E14=$D14,1,0)</f>
        <v>0</v>
      </c>
      <c r="F15" s="65">
        <f t="shared" si="7"/>
        <v>0</v>
      </c>
      <c r="G15" s="65">
        <f t="shared" si="7"/>
        <v>1</v>
      </c>
      <c r="H15" s="65">
        <f t="shared" si="7"/>
        <v>0</v>
      </c>
      <c r="I15" s="65">
        <f t="shared" si="7"/>
        <v>0</v>
      </c>
      <c r="J15" s="65">
        <f t="shared" si="7"/>
        <v>0</v>
      </c>
      <c r="K15" s="65">
        <f t="shared" si="7"/>
        <v>0</v>
      </c>
      <c r="L15" s="65">
        <f t="shared" si="7"/>
        <v>1</v>
      </c>
      <c r="M15" s="65">
        <f t="shared" si="7"/>
        <v>1</v>
      </c>
      <c r="N15" s="65">
        <f t="shared" si="7"/>
        <v>0</v>
      </c>
      <c r="O15" s="65">
        <f t="shared" si="7"/>
        <v>1</v>
      </c>
      <c r="P15" s="65">
        <f t="shared" si="7"/>
        <v>1</v>
      </c>
      <c r="Q15" s="65">
        <f t="shared" si="7"/>
        <v>0</v>
      </c>
      <c r="R15" s="65">
        <f t="shared" si="7"/>
        <v>0</v>
      </c>
    </row>
    <row r="16">
      <c r="A16" s="66">
        <v>7.0</v>
      </c>
      <c r="B16" s="59" t="s">
        <v>39</v>
      </c>
      <c r="C16" s="67" t="s">
        <v>18</v>
      </c>
      <c r="D16" s="61" t="s">
        <v>19</v>
      </c>
      <c r="E16" s="62" t="s">
        <v>19</v>
      </c>
      <c r="F16" s="62" t="s">
        <v>20</v>
      </c>
      <c r="G16" s="62" t="s">
        <v>20</v>
      </c>
      <c r="H16" s="62" t="s">
        <v>20</v>
      </c>
      <c r="I16" s="62" t="s">
        <v>19</v>
      </c>
      <c r="J16" s="62" t="s">
        <v>20</v>
      </c>
      <c r="K16" s="62" t="s">
        <v>20</v>
      </c>
      <c r="L16" s="62" t="s">
        <v>20</v>
      </c>
      <c r="M16" s="62" t="s">
        <v>20</v>
      </c>
      <c r="N16" s="62" t="s">
        <v>19</v>
      </c>
      <c r="O16" s="62" t="s">
        <v>19</v>
      </c>
      <c r="P16" s="62" t="s">
        <v>19</v>
      </c>
      <c r="Q16" s="62" t="s">
        <v>20</v>
      </c>
      <c r="R16" s="62" t="s">
        <v>19</v>
      </c>
    </row>
    <row r="17" hidden="1">
      <c r="A17" s="66"/>
      <c r="B17" s="59"/>
      <c r="C17" s="67"/>
      <c r="D17" s="61"/>
      <c r="E17" s="65">
        <f t="shared" ref="E17:R17" si="8">if(E16=$D16,1,0)</f>
        <v>1</v>
      </c>
      <c r="F17" s="65">
        <f t="shared" si="8"/>
        <v>0</v>
      </c>
      <c r="G17" s="65">
        <f t="shared" si="8"/>
        <v>0</v>
      </c>
      <c r="H17" s="65">
        <f t="shared" si="8"/>
        <v>0</v>
      </c>
      <c r="I17" s="65">
        <f t="shared" si="8"/>
        <v>1</v>
      </c>
      <c r="J17" s="65">
        <f t="shared" si="8"/>
        <v>0</v>
      </c>
      <c r="K17" s="65">
        <f t="shared" si="8"/>
        <v>0</v>
      </c>
      <c r="L17" s="65">
        <f t="shared" si="8"/>
        <v>0</v>
      </c>
      <c r="M17" s="65">
        <f t="shared" si="8"/>
        <v>0</v>
      </c>
      <c r="N17" s="65">
        <f t="shared" si="8"/>
        <v>1</v>
      </c>
      <c r="O17" s="65">
        <f t="shared" si="8"/>
        <v>1</v>
      </c>
      <c r="P17" s="65">
        <f t="shared" si="8"/>
        <v>1</v>
      </c>
      <c r="Q17" s="65">
        <f t="shared" si="8"/>
        <v>0</v>
      </c>
      <c r="R17" s="65">
        <f t="shared" si="8"/>
        <v>1</v>
      </c>
    </row>
    <row r="18">
      <c r="A18" s="66">
        <v>8.0</v>
      </c>
      <c r="B18" s="59" t="s">
        <v>40</v>
      </c>
      <c r="C18" s="67" t="s">
        <v>18</v>
      </c>
      <c r="D18" s="61" t="s">
        <v>20</v>
      </c>
      <c r="E18" s="62" t="s">
        <v>20</v>
      </c>
      <c r="F18" s="62" t="s">
        <v>20</v>
      </c>
      <c r="G18" s="62" t="s">
        <v>19</v>
      </c>
      <c r="H18" s="62" t="s">
        <v>20</v>
      </c>
      <c r="I18" s="62" t="s">
        <v>20</v>
      </c>
      <c r="J18" s="62" t="s">
        <v>20</v>
      </c>
      <c r="K18" s="62" t="s">
        <v>20</v>
      </c>
      <c r="L18" s="62" t="s">
        <v>20</v>
      </c>
      <c r="M18" s="62" t="s">
        <v>20</v>
      </c>
      <c r="N18" s="62" t="s">
        <v>20</v>
      </c>
      <c r="O18" s="62" t="s">
        <v>20</v>
      </c>
      <c r="P18" s="62" t="s">
        <v>20</v>
      </c>
      <c r="Q18" s="62" t="s">
        <v>19</v>
      </c>
      <c r="R18" s="62" t="s">
        <v>20</v>
      </c>
    </row>
    <row r="19" hidden="1">
      <c r="A19" s="66"/>
      <c r="B19" s="59"/>
      <c r="C19" s="67"/>
      <c r="D19" s="61"/>
      <c r="E19" s="65">
        <f t="shared" ref="E19:R19" si="9">if(E18=$D18,1,0)</f>
        <v>1</v>
      </c>
      <c r="F19" s="65">
        <f t="shared" si="9"/>
        <v>1</v>
      </c>
      <c r="G19" s="65">
        <f t="shared" si="9"/>
        <v>0</v>
      </c>
      <c r="H19" s="65">
        <f t="shared" si="9"/>
        <v>1</v>
      </c>
      <c r="I19" s="65">
        <f t="shared" si="9"/>
        <v>1</v>
      </c>
      <c r="J19" s="65">
        <f t="shared" si="9"/>
        <v>1</v>
      </c>
      <c r="K19" s="65">
        <f t="shared" si="9"/>
        <v>1</v>
      </c>
      <c r="L19" s="65">
        <f t="shared" si="9"/>
        <v>1</v>
      </c>
      <c r="M19" s="65">
        <f t="shared" si="9"/>
        <v>1</v>
      </c>
      <c r="N19" s="65">
        <f t="shared" si="9"/>
        <v>1</v>
      </c>
      <c r="O19" s="65">
        <f t="shared" si="9"/>
        <v>1</v>
      </c>
      <c r="P19" s="65">
        <f t="shared" si="9"/>
        <v>1</v>
      </c>
      <c r="Q19" s="65">
        <f t="shared" si="9"/>
        <v>0</v>
      </c>
      <c r="R19" s="65">
        <f t="shared" si="9"/>
        <v>1</v>
      </c>
    </row>
    <row r="20">
      <c r="A20" s="66">
        <v>9.0</v>
      </c>
      <c r="B20" s="59" t="s">
        <v>98</v>
      </c>
      <c r="C20" s="67" t="s">
        <v>33</v>
      </c>
      <c r="D20" s="61" t="s">
        <v>34</v>
      </c>
      <c r="E20" s="62" t="s">
        <v>35</v>
      </c>
      <c r="F20" s="62" t="s">
        <v>34</v>
      </c>
      <c r="G20" s="62" t="s">
        <v>34</v>
      </c>
      <c r="H20" s="62" t="s">
        <v>34</v>
      </c>
      <c r="I20" s="62" t="s">
        <v>34</v>
      </c>
      <c r="J20" s="62" t="s">
        <v>34</v>
      </c>
      <c r="K20" s="62" t="s">
        <v>34</v>
      </c>
      <c r="L20" s="62" t="s">
        <v>34</v>
      </c>
      <c r="M20" s="62" t="s">
        <v>35</v>
      </c>
      <c r="N20" s="62" t="s">
        <v>34</v>
      </c>
      <c r="O20" s="62" t="s">
        <v>34</v>
      </c>
      <c r="P20" s="62" t="s">
        <v>34</v>
      </c>
      <c r="Q20" s="62" t="s">
        <v>35</v>
      </c>
      <c r="R20" s="62" t="s">
        <v>35</v>
      </c>
    </row>
    <row r="21" hidden="1">
      <c r="A21" s="66"/>
      <c r="B21" s="59"/>
      <c r="C21" s="67"/>
      <c r="D21" s="61"/>
      <c r="E21" s="65">
        <f t="shared" ref="E21:R21" si="10">if(E20=$D20,1,0)</f>
        <v>0</v>
      </c>
      <c r="F21" s="65">
        <f t="shared" si="10"/>
        <v>1</v>
      </c>
      <c r="G21" s="65">
        <f t="shared" si="10"/>
        <v>1</v>
      </c>
      <c r="H21" s="65">
        <f t="shared" si="10"/>
        <v>1</v>
      </c>
      <c r="I21" s="65">
        <f t="shared" si="10"/>
        <v>1</v>
      </c>
      <c r="J21" s="65">
        <f t="shared" si="10"/>
        <v>1</v>
      </c>
      <c r="K21" s="65">
        <f t="shared" si="10"/>
        <v>1</v>
      </c>
      <c r="L21" s="65">
        <f t="shared" si="10"/>
        <v>1</v>
      </c>
      <c r="M21" s="65">
        <f t="shared" si="10"/>
        <v>0</v>
      </c>
      <c r="N21" s="65">
        <f t="shared" si="10"/>
        <v>1</v>
      </c>
      <c r="O21" s="65">
        <f t="shared" si="10"/>
        <v>1</v>
      </c>
      <c r="P21" s="65">
        <f t="shared" si="10"/>
        <v>1</v>
      </c>
      <c r="Q21" s="65">
        <f t="shared" si="10"/>
        <v>0</v>
      </c>
      <c r="R21" s="65">
        <f t="shared" si="10"/>
        <v>0</v>
      </c>
    </row>
    <row r="22">
      <c r="A22" s="66">
        <v>10.0</v>
      </c>
      <c r="B22" s="59" t="s">
        <v>99</v>
      </c>
      <c r="C22" s="67" t="s">
        <v>18</v>
      </c>
      <c r="D22" s="61" t="s">
        <v>19</v>
      </c>
      <c r="E22" s="62" t="s">
        <v>20</v>
      </c>
      <c r="F22" s="62" t="s">
        <v>20</v>
      </c>
      <c r="G22" s="62" t="s">
        <v>19</v>
      </c>
      <c r="H22" s="62" t="s">
        <v>20</v>
      </c>
      <c r="I22" s="62" t="s">
        <v>19</v>
      </c>
      <c r="J22" s="62" t="s">
        <v>19</v>
      </c>
      <c r="K22" s="62" t="s">
        <v>19</v>
      </c>
      <c r="L22" s="62" t="s">
        <v>19</v>
      </c>
      <c r="M22" s="62" t="s">
        <v>19</v>
      </c>
      <c r="N22" s="62" t="s">
        <v>19</v>
      </c>
      <c r="O22" s="62" t="s">
        <v>19</v>
      </c>
      <c r="P22" s="62" t="s">
        <v>19</v>
      </c>
      <c r="Q22" s="62" t="s">
        <v>20</v>
      </c>
      <c r="R22" s="62" t="s">
        <v>19</v>
      </c>
    </row>
    <row r="23" hidden="1">
      <c r="A23" s="66"/>
      <c r="B23" s="59"/>
      <c r="C23" s="67"/>
      <c r="D23" s="61"/>
      <c r="E23" s="65">
        <f t="shared" ref="E23:R23" si="11">if(E22=$D22,1,0)</f>
        <v>0</v>
      </c>
      <c r="F23" s="65">
        <f t="shared" si="11"/>
        <v>0</v>
      </c>
      <c r="G23" s="65">
        <f t="shared" si="11"/>
        <v>1</v>
      </c>
      <c r="H23" s="65">
        <f t="shared" si="11"/>
        <v>0</v>
      </c>
      <c r="I23" s="65">
        <f t="shared" si="11"/>
        <v>1</v>
      </c>
      <c r="J23" s="65">
        <f t="shared" si="11"/>
        <v>1</v>
      </c>
      <c r="K23" s="65">
        <f t="shared" si="11"/>
        <v>1</v>
      </c>
      <c r="L23" s="65">
        <f t="shared" si="11"/>
        <v>1</v>
      </c>
      <c r="M23" s="65">
        <f t="shared" si="11"/>
        <v>1</v>
      </c>
      <c r="N23" s="65">
        <f t="shared" si="11"/>
        <v>1</v>
      </c>
      <c r="O23" s="65">
        <f t="shared" si="11"/>
        <v>1</v>
      </c>
      <c r="P23" s="65">
        <f t="shared" si="11"/>
        <v>1</v>
      </c>
      <c r="Q23" s="65">
        <f t="shared" si="11"/>
        <v>0</v>
      </c>
      <c r="R23" s="65">
        <f t="shared" si="11"/>
        <v>1</v>
      </c>
    </row>
    <row r="24">
      <c r="A24" s="66">
        <v>11.0</v>
      </c>
      <c r="B24" s="59" t="s">
        <v>100</v>
      </c>
      <c r="C24" s="67" t="s">
        <v>18</v>
      </c>
      <c r="D24" s="61" t="s">
        <v>19</v>
      </c>
      <c r="E24" s="62" t="s">
        <v>19</v>
      </c>
      <c r="F24" s="62" t="s">
        <v>19</v>
      </c>
      <c r="G24" s="62" t="s">
        <v>20</v>
      </c>
      <c r="H24" s="62" t="s">
        <v>19</v>
      </c>
      <c r="I24" s="62" t="s">
        <v>20</v>
      </c>
      <c r="J24" s="62" t="s">
        <v>19</v>
      </c>
      <c r="K24" s="62" t="s">
        <v>19</v>
      </c>
      <c r="L24" s="62" t="s">
        <v>19</v>
      </c>
      <c r="M24" s="62" t="s">
        <v>19</v>
      </c>
      <c r="N24" s="62" t="s">
        <v>20</v>
      </c>
      <c r="O24" s="62" t="s">
        <v>20</v>
      </c>
      <c r="P24" s="62" t="s">
        <v>20</v>
      </c>
      <c r="Q24" s="62" t="s">
        <v>20</v>
      </c>
      <c r="R24" s="62" t="s">
        <v>20</v>
      </c>
    </row>
    <row r="25" hidden="1">
      <c r="A25" s="66"/>
      <c r="B25" s="59"/>
      <c r="C25" s="67"/>
      <c r="D25" s="61"/>
      <c r="E25" s="65">
        <f t="shared" ref="E25:R25" si="12">if(E24=$D24,1,0)</f>
        <v>1</v>
      </c>
      <c r="F25" s="65">
        <f t="shared" si="12"/>
        <v>1</v>
      </c>
      <c r="G25" s="65">
        <f t="shared" si="12"/>
        <v>0</v>
      </c>
      <c r="H25" s="65">
        <f t="shared" si="12"/>
        <v>1</v>
      </c>
      <c r="I25" s="65">
        <f t="shared" si="12"/>
        <v>0</v>
      </c>
      <c r="J25" s="65">
        <f t="shared" si="12"/>
        <v>1</v>
      </c>
      <c r="K25" s="65">
        <f t="shared" si="12"/>
        <v>1</v>
      </c>
      <c r="L25" s="65">
        <f t="shared" si="12"/>
        <v>1</v>
      </c>
      <c r="M25" s="65">
        <f t="shared" si="12"/>
        <v>1</v>
      </c>
      <c r="N25" s="65">
        <f t="shared" si="12"/>
        <v>0</v>
      </c>
      <c r="O25" s="65">
        <f t="shared" si="12"/>
        <v>0</v>
      </c>
      <c r="P25" s="65">
        <f t="shared" si="12"/>
        <v>0</v>
      </c>
      <c r="Q25" s="65">
        <f t="shared" si="12"/>
        <v>0</v>
      </c>
      <c r="R25" s="65">
        <f t="shared" si="12"/>
        <v>0</v>
      </c>
    </row>
    <row r="26">
      <c r="A26" s="66">
        <v>12.0</v>
      </c>
      <c r="B26" s="59" t="s">
        <v>101</v>
      </c>
      <c r="C26" s="67" t="s">
        <v>18</v>
      </c>
      <c r="D26" s="61" t="s">
        <v>20</v>
      </c>
      <c r="E26" s="62" t="s">
        <v>19</v>
      </c>
      <c r="F26" s="62" t="s">
        <v>19</v>
      </c>
      <c r="G26" s="62" t="s">
        <v>19</v>
      </c>
      <c r="H26" s="62" t="s">
        <v>20</v>
      </c>
      <c r="I26" s="62" t="s">
        <v>20</v>
      </c>
      <c r="J26" s="62" t="s">
        <v>20</v>
      </c>
      <c r="K26" s="62" t="s">
        <v>20</v>
      </c>
      <c r="L26" s="62" t="s">
        <v>20</v>
      </c>
      <c r="M26" s="62" t="s">
        <v>19</v>
      </c>
      <c r="N26" s="62" t="s">
        <v>19</v>
      </c>
      <c r="O26" s="62" t="s">
        <v>19</v>
      </c>
      <c r="P26" s="62" t="s">
        <v>19</v>
      </c>
      <c r="Q26" s="62" t="s">
        <v>19</v>
      </c>
      <c r="R26" s="62" t="s">
        <v>20</v>
      </c>
    </row>
    <row r="27" hidden="1">
      <c r="A27" s="66"/>
      <c r="B27" s="59"/>
      <c r="C27" s="67"/>
      <c r="D27" s="61"/>
      <c r="E27" s="65">
        <f t="shared" ref="E27:R27" si="13">if(E26=$D26,1,0)</f>
        <v>0</v>
      </c>
      <c r="F27" s="65">
        <f t="shared" si="13"/>
        <v>0</v>
      </c>
      <c r="G27" s="65">
        <f t="shared" si="13"/>
        <v>0</v>
      </c>
      <c r="H27" s="65">
        <f t="shared" si="13"/>
        <v>1</v>
      </c>
      <c r="I27" s="65">
        <f t="shared" si="13"/>
        <v>1</v>
      </c>
      <c r="J27" s="65">
        <f t="shared" si="13"/>
        <v>1</v>
      </c>
      <c r="K27" s="65">
        <f t="shared" si="13"/>
        <v>1</v>
      </c>
      <c r="L27" s="65">
        <f t="shared" si="13"/>
        <v>1</v>
      </c>
      <c r="M27" s="65">
        <f t="shared" si="13"/>
        <v>0</v>
      </c>
      <c r="N27" s="65">
        <f t="shared" si="13"/>
        <v>0</v>
      </c>
      <c r="O27" s="65">
        <f t="shared" si="13"/>
        <v>0</v>
      </c>
      <c r="P27" s="65">
        <f t="shared" si="13"/>
        <v>0</v>
      </c>
      <c r="Q27" s="65">
        <f t="shared" si="13"/>
        <v>0</v>
      </c>
      <c r="R27" s="65">
        <f t="shared" si="13"/>
        <v>1</v>
      </c>
    </row>
    <row r="28">
      <c r="A28" s="66">
        <v>13.0</v>
      </c>
      <c r="B28" s="59" t="s">
        <v>102</v>
      </c>
      <c r="C28" s="67" t="s">
        <v>33</v>
      </c>
      <c r="D28" s="61" t="s">
        <v>34</v>
      </c>
      <c r="E28" s="62" t="s">
        <v>35</v>
      </c>
      <c r="F28" s="62" t="s">
        <v>35</v>
      </c>
      <c r="G28" s="62" t="s">
        <v>34</v>
      </c>
      <c r="H28" s="62" t="s">
        <v>35</v>
      </c>
      <c r="I28" s="62" t="s">
        <v>34</v>
      </c>
      <c r="J28" s="62" t="s">
        <v>34</v>
      </c>
      <c r="K28" s="62" t="s">
        <v>34</v>
      </c>
      <c r="L28" s="62" t="s">
        <v>34</v>
      </c>
      <c r="M28" s="62" t="s">
        <v>35</v>
      </c>
      <c r="N28" s="62" t="s">
        <v>35</v>
      </c>
      <c r="O28" s="62" t="s">
        <v>35</v>
      </c>
      <c r="P28" s="62" t="s">
        <v>35</v>
      </c>
      <c r="Q28" s="62" t="s">
        <v>34</v>
      </c>
      <c r="R28" s="62" t="s">
        <v>35</v>
      </c>
    </row>
    <row r="29" hidden="1">
      <c r="A29" s="66"/>
      <c r="B29" s="59"/>
      <c r="C29" s="67"/>
      <c r="D29" s="61"/>
      <c r="E29" s="65">
        <f t="shared" ref="E29:R29" si="14">if(E28=$D28,1,0)</f>
        <v>0</v>
      </c>
      <c r="F29" s="65">
        <f t="shared" si="14"/>
        <v>0</v>
      </c>
      <c r="G29" s="65">
        <f t="shared" si="14"/>
        <v>1</v>
      </c>
      <c r="H29" s="65">
        <f t="shared" si="14"/>
        <v>0</v>
      </c>
      <c r="I29" s="65">
        <f t="shared" si="14"/>
        <v>1</v>
      </c>
      <c r="J29" s="65">
        <f t="shared" si="14"/>
        <v>1</v>
      </c>
      <c r="K29" s="65">
        <f t="shared" si="14"/>
        <v>1</v>
      </c>
      <c r="L29" s="65">
        <f t="shared" si="14"/>
        <v>1</v>
      </c>
      <c r="M29" s="65">
        <f t="shared" si="14"/>
        <v>0</v>
      </c>
      <c r="N29" s="65">
        <f t="shared" si="14"/>
        <v>0</v>
      </c>
      <c r="O29" s="65">
        <f t="shared" si="14"/>
        <v>0</v>
      </c>
      <c r="P29" s="65">
        <f t="shared" si="14"/>
        <v>0</v>
      </c>
      <c r="Q29" s="65">
        <f t="shared" si="14"/>
        <v>1</v>
      </c>
      <c r="R29" s="65">
        <f t="shared" si="14"/>
        <v>0</v>
      </c>
    </row>
    <row r="30">
      <c r="A30" s="66">
        <v>14.0</v>
      </c>
      <c r="B30" s="59" t="s">
        <v>103</v>
      </c>
      <c r="C30" s="67" t="s">
        <v>33</v>
      </c>
      <c r="D30" s="61" t="s">
        <v>35</v>
      </c>
      <c r="E30" s="62" t="s">
        <v>34</v>
      </c>
      <c r="F30" s="62" t="s">
        <v>35</v>
      </c>
      <c r="G30" s="62" t="s">
        <v>35</v>
      </c>
      <c r="H30" s="62" t="s">
        <v>35</v>
      </c>
      <c r="I30" s="62" t="s">
        <v>35</v>
      </c>
      <c r="J30" s="62" t="s">
        <v>35</v>
      </c>
      <c r="K30" s="62" t="s">
        <v>34</v>
      </c>
      <c r="L30" s="62" t="s">
        <v>35</v>
      </c>
      <c r="M30" s="62" t="s">
        <v>35</v>
      </c>
      <c r="N30" s="62" t="s">
        <v>35</v>
      </c>
      <c r="O30" s="62" t="s">
        <v>35</v>
      </c>
      <c r="P30" s="62" t="s">
        <v>35</v>
      </c>
      <c r="Q30" s="62" t="s">
        <v>35</v>
      </c>
      <c r="R30" s="62" t="s">
        <v>35</v>
      </c>
    </row>
    <row r="31" hidden="1">
      <c r="A31" s="66"/>
      <c r="B31" s="59"/>
      <c r="C31" s="67"/>
      <c r="D31" s="61"/>
      <c r="E31" s="65">
        <f t="shared" ref="E31:R31" si="15">if(E30=$D30,1,0)</f>
        <v>0</v>
      </c>
      <c r="F31" s="65">
        <f t="shared" si="15"/>
        <v>1</v>
      </c>
      <c r="G31" s="65">
        <f t="shared" si="15"/>
        <v>1</v>
      </c>
      <c r="H31" s="65">
        <f t="shared" si="15"/>
        <v>1</v>
      </c>
      <c r="I31" s="65">
        <f t="shared" si="15"/>
        <v>1</v>
      </c>
      <c r="J31" s="65">
        <f t="shared" si="15"/>
        <v>1</v>
      </c>
      <c r="K31" s="65">
        <f t="shared" si="15"/>
        <v>0</v>
      </c>
      <c r="L31" s="65">
        <f t="shared" si="15"/>
        <v>1</v>
      </c>
      <c r="M31" s="65">
        <f t="shared" si="15"/>
        <v>1</v>
      </c>
      <c r="N31" s="65">
        <f t="shared" si="15"/>
        <v>1</v>
      </c>
      <c r="O31" s="65">
        <f t="shared" si="15"/>
        <v>1</v>
      </c>
      <c r="P31" s="65">
        <f t="shared" si="15"/>
        <v>1</v>
      </c>
      <c r="Q31" s="65">
        <f t="shared" si="15"/>
        <v>1</v>
      </c>
      <c r="R31" s="65">
        <f t="shared" si="15"/>
        <v>1</v>
      </c>
    </row>
    <row r="32">
      <c r="A32" s="66">
        <v>15.0</v>
      </c>
      <c r="B32" s="59" t="s">
        <v>82</v>
      </c>
      <c r="C32" s="67" t="s">
        <v>18</v>
      </c>
      <c r="D32" s="61" t="s">
        <v>19</v>
      </c>
      <c r="E32" s="62" t="s">
        <v>19</v>
      </c>
      <c r="F32" s="62" t="s">
        <v>19</v>
      </c>
      <c r="G32" s="62" t="s">
        <v>19</v>
      </c>
      <c r="H32" s="62" t="s">
        <v>19</v>
      </c>
      <c r="I32" s="62" t="s">
        <v>19</v>
      </c>
      <c r="J32" s="62" t="s">
        <v>19</v>
      </c>
      <c r="K32" s="62" t="s">
        <v>20</v>
      </c>
      <c r="L32" s="62" t="s">
        <v>20</v>
      </c>
      <c r="M32" s="62" t="s">
        <v>20</v>
      </c>
      <c r="N32" s="62" t="s">
        <v>20</v>
      </c>
      <c r="O32" s="62" t="s">
        <v>19</v>
      </c>
      <c r="P32" s="62" t="s">
        <v>19</v>
      </c>
      <c r="Q32" s="62" t="s">
        <v>19</v>
      </c>
      <c r="R32" s="62" t="s">
        <v>20</v>
      </c>
    </row>
    <row r="33" hidden="1">
      <c r="A33" s="66"/>
      <c r="B33" s="59"/>
      <c r="C33" s="67"/>
      <c r="D33" s="61"/>
      <c r="E33" s="68">
        <f t="shared" ref="E33:R33" si="16">if(E32=$D32,1,0)</f>
        <v>1</v>
      </c>
      <c r="F33" s="68">
        <f t="shared" si="16"/>
        <v>1</v>
      </c>
      <c r="G33" s="68">
        <f t="shared" si="16"/>
        <v>1</v>
      </c>
      <c r="H33" s="68">
        <f t="shared" si="16"/>
        <v>1</v>
      </c>
      <c r="I33" s="68">
        <f t="shared" si="16"/>
        <v>1</v>
      </c>
      <c r="J33" s="68">
        <f t="shared" si="16"/>
        <v>1</v>
      </c>
      <c r="K33" s="68">
        <f t="shared" si="16"/>
        <v>0</v>
      </c>
      <c r="L33" s="68">
        <f t="shared" si="16"/>
        <v>0</v>
      </c>
      <c r="M33" s="68">
        <f t="shared" si="16"/>
        <v>0</v>
      </c>
      <c r="N33" s="68">
        <f t="shared" si="16"/>
        <v>0</v>
      </c>
      <c r="O33" s="68">
        <f t="shared" si="16"/>
        <v>1</v>
      </c>
      <c r="P33" s="68">
        <f t="shared" si="16"/>
        <v>1</v>
      </c>
      <c r="Q33" s="68">
        <f t="shared" si="16"/>
        <v>1</v>
      </c>
      <c r="R33" s="68">
        <f t="shared" si="16"/>
        <v>0</v>
      </c>
    </row>
    <row r="34">
      <c r="A34" s="66">
        <v>16.0</v>
      </c>
      <c r="B34" s="59" t="s">
        <v>53</v>
      </c>
      <c r="C34" s="67" t="s">
        <v>33</v>
      </c>
      <c r="D34" s="61" t="s">
        <v>34</v>
      </c>
      <c r="E34" s="62" t="s">
        <v>35</v>
      </c>
      <c r="F34" s="62" t="s">
        <v>34</v>
      </c>
      <c r="G34" s="62" t="s">
        <v>34</v>
      </c>
      <c r="H34" s="62" t="s">
        <v>35</v>
      </c>
      <c r="I34" s="62" t="s">
        <v>34</v>
      </c>
      <c r="J34" s="62" t="s">
        <v>34</v>
      </c>
      <c r="K34" s="62" t="s">
        <v>34</v>
      </c>
      <c r="L34" s="62" t="s">
        <v>34</v>
      </c>
      <c r="M34" s="62" t="s">
        <v>35</v>
      </c>
      <c r="N34" s="62" t="s">
        <v>35</v>
      </c>
      <c r="O34" s="62" t="s">
        <v>34</v>
      </c>
      <c r="P34" s="62" t="s">
        <v>34</v>
      </c>
      <c r="Q34" s="62" t="s">
        <v>34</v>
      </c>
      <c r="R34" s="62" t="s">
        <v>35</v>
      </c>
    </row>
    <row r="35" hidden="1">
      <c r="A35" s="66"/>
      <c r="B35" s="59"/>
      <c r="C35" s="67"/>
      <c r="D35" s="61"/>
      <c r="E35" s="65">
        <f t="shared" ref="E35:R35" si="17">if(E34=$D34,1,0)</f>
        <v>0</v>
      </c>
      <c r="F35" s="65">
        <f t="shared" si="17"/>
        <v>1</v>
      </c>
      <c r="G35" s="65">
        <f t="shared" si="17"/>
        <v>1</v>
      </c>
      <c r="H35" s="65">
        <f t="shared" si="17"/>
        <v>0</v>
      </c>
      <c r="I35" s="65">
        <f t="shared" si="17"/>
        <v>1</v>
      </c>
      <c r="J35" s="65">
        <f t="shared" si="17"/>
        <v>1</v>
      </c>
      <c r="K35" s="65">
        <f t="shared" si="17"/>
        <v>1</v>
      </c>
      <c r="L35" s="65">
        <f t="shared" si="17"/>
        <v>1</v>
      </c>
      <c r="M35" s="65">
        <f t="shared" si="17"/>
        <v>0</v>
      </c>
      <c r="N35" s="65">
        <f t="shared" si="17"/>
        <v>0</v>
      </c>
      <c r="O35" s="65">
        <f t="shared" si="17"/>
        <v>1</v>
      </c>
      <c r="P35" s="65">
        <f t="shared" si="17"/>
        <v>1</v>
      </c>
      <c r="Q35" s="65">
        <f t="shared" si="17"/>
        <v>1</v>
      </c>
      <c r="R35" s="65">
        <f t="shared" si="17"/>
        <v>0</v>
      </c>
    </row>
    <row r="36">
      <c r="A36" s="66">
        <v>17.0</v>
      </c>
      <c r="B36" s="59" t="s">
        <v>54</v>
      </c>
      <c r="C36" s="67" t="s">
        <v>94</v>
      </c>
      <c r="D36" s="61" t="s">
        <v>95</v>
      </c>
      <c r="E36" s="62" t="s">
        <v>95</v>
      </c>
      <c r="F36" s="62" t="s">
        <v>96</v>
      </c>
      <c r="G36" s="62" t="s">
        <v>95</v>
      </c>
      <c r="H36" s="62" t="s">
        <v>95</v>
      </c>
      <c r="I36" s="62" t="s">
        <v>96</v>
      </c>
      <c r="J36" s="62" t="s">
        <v>96</v>
      </c>
      <c r="K36" s="62" t="s">
        <v>95</v>
      </c>
      <c r="L36" s="62" t="s">
        <v>95</v>
      </c>
      <c r="M36" s="62" t="s">
        <v>96</v>
      </c>
      <c r="N36" s="62" t="s">
        <v>96</v>
      </c>
      <c r="O36" s="62" t="s">
        <v>96</v>
      </c>
      <c r="P36" s="62" t="s">
        <v>96</v>
      </c>
      <c r="Q36" s="62" t="s">
        <v>96</v>
      </c>
      <c r="R36" s="62" t="s">
        <v>95</v>
      </c>
    </row>
    <row r="37" hidden="1">
      <c r="A37" s="66"/>
      <c r="B37" s="59"/>
      <c r="C37" s="67"/>
      <c r="D37" s="61"/>
      <c r="E37" s="65">
        <f t="shared" ref="E37:R37" si="18">if(E36=$D36,1,0)</f>
        <v>1</v>
      </c>
      <c r="F37" s="65">
        <f t="shared" si="18"/>
        <v>0</v>
      </c>
      <c r="G37" s="65">
        <f t="shared" si="18"/>
        <v>1</v>
      </c>
      <c r="H37" s="65">
        <f t="shared" si="18"/>
        <v>1</v>
      </c>
      <c r="I37" s="65">
        <f t="shared" si="18"/>
        <v>0</v>
      </c>
      <c r="J37" s="65">
        <f t="shared" si="18"/>
        <v>0</v>
      </c>
      <c r="K37" s="65">
        <f t="shared" si="18"/>
        <v>1</v>
      </c>
      <c r="L37" s="65">
        <f t="shared" si="18"/>
        <v>1</v>
      </c>
      <c r="M37" s="65">
        <f t="shared" si="18"/>
        <v>0</v>
      </c>
      <c r="N37" s="65">
        <f t="shared" si="18"/>
        <v>0</v>
      </c>
      <c r="O37" s="65">
        <f t="shared" si="18"/>
        <v>0</v>
      </c>
      <c r="P37" s="65">
        <f t="shared" si="18"/>
        <v>0</v>
      </c>
      <c r="Q37" s="65">
        <f t="shared" si="18"/>
        <v>0</v>
      </c>
      <c r="R37" s="65">
        <f t="shared" si="18"/>
        <v>1</v>
      </c>
    </row>
    <row r="38">
      <c r="A38" s="66">
        <v>18.0</v>
      </c>
      <c r="B38" s="59" t="s">
        <v>55</v>
      </c>
      <c r="C38" s="67" t="s">
        <v>56</v>
      </c>
      <c r="D38" s="61" t="s">
        <v>19</v>
      </c>
      <c r="E38" s="62" t="s">
        <v>19</v>
      </c>
      <c r="F38" s="62" t="s">
        <v>19</v>
      </c>
      <c r="G38" s="62" t="s">
        <v>19</v>
      </c>
      <c r="H38" s="62" t="s">
        <v>19</v>
      </c>
      <c r="I38" s="62" t="s">
        <v>57</v>
      </c>
      <c r="J38" s="62" t="s">
        <v>19</v>
      </c>
      <c r="K38" s="62" t="s">
        <v>19</v>
      </c>
      <c r="L38" s="62" t="s">
        <v>57</v>
      </c>
      <c r="M38" s="62" t="s">
        <v>57</v>
      </c>
      <c r="N38" s="62" t="s">
        <v>19</v>
      </c>
      <c r="O38" s="62" t="s">
        <v>19</v>
      </c>
      <c r="P38" s="62" t="s">
        <v>19</v>
      </c>
      <c r="Q38" s="62" t="s">
        <v>19</v>
      </c>
      <c r="R38" s="62" t="s">
        <v>57</v>
      </c>
    </row>
    <row r="39" hidden="1">
      <c r="A39" s="66"/>
      <c r="B39" s="59"/>
      <c r="C39" s="67"/>
      <c r="D39" s="61"/>
      <c r="E39" s="65">
        <f t="shared" ref="E39:R39" si="19">if(E38=$D38,1,0)</f>
        <v>1</v>
      </c>
      <c r="F39" s="65">
        <f t="shared" si="19"/>
        <v>1</v>
      </c>
      <c r="G39" s="65">
        <f t="shared" si="19"/>
        <v>1</v>
      </c>
      <c r="H39" s="65">
        <f t="shared" si="19"/>
        <v>1</v>
      </c>
      <c r="I39" s="65">
        <f t="shared" si="19"/>
        <v>0</v>
      </c>
      <c r="J39" s="65">
        <f t="shared" si="19"/>
        <v>1</v>
      </c>
      <c r="K39" s="65">
        <f t="shared" si="19"/>
        <v>1</v>
      </c>
      <c r="L39" s="65">
        <f t="shared" si="19"/>
        <v>0</v>
      </c>
      <c r="M39" s="65">
        <f t="shared" si="19"/>
        <v>0</v>
      </c>
      <c r="N39" s="65">
        <f t="shared" si="19"/>
        <v>1</v>
      </c>
      <c r="O39" s="65">
        <f t="shared" si="19"/>
        <v>1</v>
      </c>
      <c r="P39" s="65">
        <f t="shared" si="19"/>
        <v>1</v>
      </c>
      <c r="Q39" s="65">
        <f t="shared" si="19"/>
        <v>1</v>
      </c>
      <c r="R39" s="65">
        <f t="shared" si="19"/>
        <v>0</v>
      </c>
    </row>
    <row r="40">
      <c r="A40" s="66">
        <v>19.0</v>
      </c>
      <c r="B40" s="59" t="s">
        <v>58</v>
      </c>
      <c r="C40" s="67" t="s">
        <v>94</v>
      </c>
      <c r="D40" s="61" t="s">
        <v>95</v>
      </c>
      <c r="E40" s="62" t="s">
        <v>95</v>
      </c>
      <c r="F40" s="62" t="s">
        <v>95</v>
      </c>
      <c r="G40" s="62" t="s">
        <v>95</v>
      </c>
      <c r="H40" s="62" t="s">
        <v>96</v>
      </c>
      <c r="I40" s="62" t="s">
        <v>96</v>
      </c>
      <c r="J40" s="62" t="s">
        <v>96</v>
      </c>
      <c r="K40" s="62" t="s">
        <v>95</v>
      </c>
      <c r="L40" s="62" t="s">
        <v>95</v>
      </c>
      <c r="M40" s="62" t="s">
        <v>95</v>
      </c>
      <c r="N40" s="62" t="s">
        <v>95</v>
      </c>
      <c r="O40" s="62" t="s">
        <v>96</v>
      </c>
      <c r="P40" s="62" t="s">
        <v>96</v>
      </c>
      <c r="Q40" s="62" t="s">
        <v>95</v>
      </c>
      <c r="R40" s="62" t="s">
        <v>95</v>
      </c>
    </row>
    <row r="41" hidden="1">
      <c r="A41" s="66"/>
      <c r="B41" s="59"/>
      <c r="C41" s="67"/>
      <c r="D41" s="61"/>
      <c r="E41" s="65">
        <f t="shared" ref="E41:R41" si="20">if(E40=$D40,1,0)</f>
        <v>1</v>
      </c>
      <c r="F41" s="65">
        <f t="shared" si="20"/>
        <v>1</v>
      </c>
      <c r="G41" s="65">
        <f t="shared" si="20"/>
        <v>1</v>
      </c>
      <c r="H41" s="65">
        <f t="shared" si="20"/>
        <v>0</v>
      </c>
      <c r="I41" s="65">
        <f t="shared" si="20"/>
        <v>0</v>
      </c>
      <c r="J41" s="65">
        <f t="shared" si="20"/>
        <v>0</v>
      </c>
      <c r="K41" s="65">
        <f t="shared" si="20"/>
        <v>1</v>
      </c>
      <c r="L41" s="65">
        <f t="shared" si="20"/>
        <v>1</v>
      </c>
      <c r="M41" s="65">
        <f t="shared" si="20"/>
        <v>1</v>
      </c>
      <c r="N41" s="65">
        <f t="shared" si="20"/>
        <v>1</v>
      </c>
      <c r="O41" s="65">
        <f t="shared" si="20"/>
        <v>0</v>
      </c>
      <c r="P41" s="65">
        <f t="shared" si="20"/>
        <v>0</v>
      </c>
      <c r="Q41" s="65">
        <f t="shared" si="20"/>
        <v>1</v>
      </c>
      <c r="R41" s="65">
        <f t="shared" si="20"/>
        <v>1</v>
      </c>
    </row>
    <row r="42">
      <c r="A42" s="66">
        <v>20.0</v>
      </c>
      <c r="B42" s="59" t="s">
        <v>68</v>
      </c>
      <c r="C42" s="67"/>
      <c r="D42" s="61" t="s">
        <v>15</v>
      </c>
      <c r="E42" s="62">
        <v>55.0</v>
      </c>
      <c r="F42" s="62">
        <v>45.0</v>
      </c>
      <c r="G42" s="62">
        <v>52.0</v>
      </c>
      <c r="H42" s="62">
        <v>50.0</v>
      </c>
      <c r="I42" s="62">
        <v>42.0</v>
      </c>
      <c r="J42" s="62">
        <v>49.0</v>
      </c>
      <c r="K42" s="62">
        <v>31.0</v>
      </c>
      <c r="L42" s="62">
        <v>38.0</v>
      </c>
      <c r="M42" s="62">
        <v>56.0</v>
      </c>
      <c r="N42" s="62">
        <v>59.0</v>
      </c>
      <c r="O42" s="62">
        <v>54.0</v>
      </c>
      <c r="P42" s="62">
        <v>73.0</v>
      </c>
      <c r="Q42" s="62">
        <v>48.0</v>
      </c>
      <c r="R42" s="62">
        <v>54.0</v>
      </c>
    </row>
    <row r="43">
      <c r="A43" s="66"/>
      <c r="B43" s="59"/>
      <c r="C43" s="67"/>
      <c r="D43" s="62"/>
      <c r="E43" s="62"/>
      <c r="F43" s="62"/>
      <c r="G43" s="62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</row>
  </sheetData>
  <mergeCells count="2">
    <mergeCell ref="B1:C1"/>
    <mergeCell ref="A2:D2"/>
  </mergeCells>
  <conditionalFormatting sqref="B1">
    <cfRule type="expression" dxfId="0" priority="1">
      <formula>RegExMatch(($C1),"Done")</formula>
    </cfRule>
  </conditionalFormatting>
  <conditionalFormatting sqref="B3">
    <cfRule type="expression" dxfId="0" priority="2">
      <formula>RegExMatch((#REF!),"Done")</formula>
    </cfRule>
  </conditionalFormatting>
  <conditionalFormatting sqref="A3:A45">
    <cfRule type="expression" dxfId="0" priority="3">
      <formula>RegExMatch(($D3),"Done")</formula>
    </cfRule>
  </conditionalFormatting>
  <conditionalFormatting sqref="C4">
    <cfRule type="notContainsBlanks" dxfId="1" priority="4">
      <formula>LEN(TRIM(C4))&gt;0</formula>
    </cfRule>
  </conditionalFormatting>
  <conditionalFormatting sqref="E6:R6">
    <cfRule type="cellIs" dxfId="2" priority="5" operator="equal">
      <formula>$D$6</formula>
    </cfRule>
  </conditionalFormatting>
  <conditionalFormatting sqref="E8:R8">
    <cfRule type="cellIs" dxfId="2" priority="6" operator="equal">
      <formula>$D$8</formula>
    </cfRule>
  </conditionalFormatting>
  <conditionalFormatting sqref="E10:R10">
    <cfRule type="cellIs" dxfId="2" priority="7" operator="equal">
      <formula>$D$10</formula>
    </cfRule>
  </conditionalFormatting>
  <conditionalFormatting sqref="E12:R12">
    <cfRule type="cellIs" dxfId="2" priority="8" operator="equal">
      <formula>$D$12</formula>
    </cfRule>
  </conditionalFormatting>
  <conditionalFormatting sqref="E14:R14">
    <cfRule type="cellIs" dxfId="2" priority="9" operator="equal">
      <formula>$D$14</formula>
    </cfRule>
  </conditionalFormatting>
  <conditionalFormatting sqref="E16:R16">
    <cfRule type="cellIs" dxfId="2" priority="10" operator="equal">
      <formula>$D$16</formula>
    </cfRule>
  </conditionalFormatting>
  <conditionalFormatting sqref="E18:R18">
    <cfRule type="cellIs" dxfId="2" priority="11" operator="equal">
      <formula>$D$18</formula>
    </cfRule>
  </conditionalFormatting>
  <conditionalFormatting sqref="E20:R20">
    <cfRule type="cellIs" dxfId="2" priority="12" operator="equal">
      <formula>$D$20</formula>
    </cfRule>
  </conditionalFormatting>
  <conditionalFormatting sqref="E22:R22">
    <cfRule type="cellIs" dxfId="2" priority="13" operator="equal">
      <formula>$D$22</formula>
    </cfRule>
  </conditionalFormatting>
  <conditionalFormatting sqref="E24:R24">
    <cfRule type="cellIs" dxfId="2" priority="14" operator="equal">
      <formula>$D$24</formula>
    </cfRule>
  </conditionalFormatting>
  <conditionalFormatting sqref="E26:R26">
    <cfRule type="cellIs" dxfId="2" priority="15" operator="equal">
      <formula>$D$26</formula>
    </cfRule>
  </conditionalFormatting>
  <conditionalFormatting sqref="E28:R28">
    <cfRule type="cellIs" dxfId="2" priority="16" operator="equal">
      <formula>$D$28</formula>
    </cfRule>
  </conditionalFormatting>
  <conditionalFormatting sqref="E30:R30">
    <cfRule type="cellIs" dxfId="2" priority="17" operator="equal">
      <formula>$D$30</formula>
    </cfRule>
  </conditionalFormatting>
  <conditionalFormatting sqref="E32:R32">
    <cfRule type="cellIs" dxfId="2" priority="18" operator="equal">
      <formula>$D$32</formula>
    </cfRule>
  </conditionalFormatting>
  <conditionalFormatting sqref="E34:R34">
    <cfRule type="cellIs" dxfId="2" priority="19" operator="equal">
      <formula>$D$34</formula>
    </cfRule>
  </conditionalFormatting>
  <conditionalFormatting sqref="E36:R36">
    <cfRule type="cellIs" dxfId="2" priority="20" operator="equal">
      <formula>$D$36</formula>
    </cfRule>
  </conditionalFormatting>
  <conditionalFormatting sqref="E38:R38">
    <cfRule type="cellIs" dxfId="2" priority="21" operator="equal">
      <formula>$D$38</formula>
    </cfRule>
  </conditionalFormatting>
  <conditionalFormatting sqref="E40:R40">
    <cfRule type="cellIs" dxfId="2" priority="22" operator="equal">
      <formula>$D$40</formula>
    </cfRule>
  </conditionalFormatting>
  <conditionalFormatting sqref="E4:R4">
    <cfRule type="cellIs" dxfId="6" priority="23" operator="equal">
      <formula>$D$4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5.5"/>
    <col customWidth="1" min="2" max="2" width="21.13"/>
    <col customWidth="1" min="3" max="3" width="8.0"/>
    <col customWidth="1" min="4" max="6" width="8.63"/>
    <col customWidth="1" min="7" max="7" width="14.63"/>
    <col customWidth="1" min="8" max="8" width="13.88"/>
    <col customWidth="1" min="9" max="15" width="8.63"/>
  </cols>
  <sheetData>
    <row r="1" ht="22.5" customHeight="1">
      <c r="A1" s="70"/>
      <c r="B1" s="71">
        <f>NOW()</f>
        <v>46048.40244</v>
      </c>
      <c r="C1" s="72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</row>
    <row r="2">
      <c r="A2" s="74"/>
      <c r="E2" s="74" t="s">
        <v>0</v>
      </c>
      <c r="F2" s="74" t="s">
        <v>1</v>
      </c>
      <c r="G2" s="74" t="s">
        <v>104</v>
      </c>
      <c r="H2" s="74" t="s">
        <v>105</v>
      </c>
      <c r="I2" s="74" t="s">
        <v>6</v>
      </c>
      <c r="J2" s="75" t="s">
        <v>7</v>
      </c>
      <c r="K2" s="74" t="s">
        <v>8</v>
      </c>
      <c r="L2" s="74" t="s">
        <v>9</v>
      </c>
      <c r="M2" s="74" t="s">
        <v>10</v>
      </c>
      <c r="N2" s="74" t="s">
        <v>11</v>
      </c>
      <c r="O2" s="74"/>
    </row>
    <row r="3" ht="33.0" customHeight="1">
      <c r="A3" s="76" t="s">
        <v>15</v>
      </c>
      <c r="B3" s="53" t="s">
        <v>15</v>
      </c>
      <c r="C3" s="54" t="s">
        <v>15</v>
      </c>
      <c r="D3" s="77" t="s">
        <v>16</v>
      </c>
      <c r="E3" s="78">
        <f t="shared" ref="E3:N3" si="1">E5+E7+E9+E11+E13+E15+E17+E19+E21+E23+E25+E27+E29+E31+E33+E35+E37+E39+E41+E43</f>
        <v>5</v>
      </c>
      <c r="F3" s="78">
        <f t="shared" si="1"/>
        <v>7</v>
      </c>
      <c r="G3" s="78">
        <f t="shared" si="1"/>
        <v>10</v>
      </c>
      <c r="H3" s="78">
        <f t="shared" si="1"/>
        <v>11</v>
      </c>
      <c r="I3" s="78">
        <f t="shared" si="1"/>
        <v>8</v>
      </c>
      <c r="J3" s="78">
        <f t="shared" si="1"/>
        <v>14</v>
      </c>
      <c r="K3" s="78">
        <f t="shared" si="1"/>
        <v>7</v>
      </c>
      <c r="L3" s="78">
        <f t="shared" si="1"/>
        <v>8</v>
      </c>
      <c r="M3" s="78">
        <f t="shared" si="1"/>
        <v>14</v>
      </c>
      <c r="N3" s="78">
        <f t="shared" si="1"/>
        <v>10</v>
      </c>
      <c r="O3" s="79"/>
    </row>
    <row r="4" ht="40.5" customHeight="1">
      <c r="A4" s="58">
        <v>1.0</v>
      </c>
      <c r="B4" s="59" t="s">
        <v>106</v>
      </c>
      <c r="C4" s="60" t="s">
        <v>33</v>
      </c>
      <c r="D4" s="61" t="s">
        <v>34</v>
      </c>
      <c r="E4" s="62" t="s">
        <v>35</v>
      </c>
      <c r="F4" s="62" t="s">
        <v>35</v>
      </c>
      <c r="G4" s="62" t="s">
        <v>35</v>
      </c>
      <c r="H4" s="62" t="s">
        <v>35</v>
      </c>
      <c r="I4" s="62" t="s">
        <v>35</v>
      </c>
      <c r="J4" s="62" t="s">
        <v>34</v>
      </c>
      <c r="K4" s="62" t="s">
        <v>35</v>
      </c>
      <c r="L4" s="62" t="s">
        <v>34</v>
      </c>
      <c r="M4" s="62" t="s">
        <v>34</v>
      </c>
      <c r="N4" s="62" t="s">
        <v>34</v>
      </c>
      <c r="O4" s="80"/>
    </row>
    <row r="5" ht="21.75" hidden="1" customHeight="1">
      <c r="A5" s="63"/>
      <c r="B5" s="59"/>
      <c r="C5" s="64"/>
      <c r="D5" s="81"/>
      <c r="E5" s="65">
        <f t="shared" ref="E5:N5" si="2">if(E4=$D$4,1,0)</f>
        <v>0</v>
      </c>
      <c r="F5" s="65">
        <f t="shared" si="2"/>
        <v>0</v>
      </c>
      <c r="G5" s="65">
        <f t="shared" si="2"/>
        <v>0</v>
      </c>
      <c r="H5" s="65">
        <f t="shared" si="2"/>
        <v>0</v>
      </c>
      <c r="I5" s="65">
        <f t="shared" si="2"/>
        <v>0</v>
      </c>
      <c r="J5" s="65">
        <f t="shared" si="2"/>
        <v>1</v>
      </c>
      <c r="K5" s="65">
        <f t="shared" si="2"/>
        <v>0</v>
      </c>
      <c r="L5" s="65">
        <f t="shared" si="2"/>
        <v>1</v>
      </c>
      <c r="M5" s="65">
        <f t="shared" si="2"/>
        <v>1</v>
      </c>
      <c r="N5" s="65">
        <f t="shared" si="2"/>
        <v>1</v>
      </c>
      <c r="O5" s="82"/>
    </row>
    <row r="6">
      <c r="A6" s="66">
        <v>2.0</v>
      </c>
      <c r="B6" s="59" t="s">
        <v>22</v>
      </c>
      <c r="C6" s="67" t="s">
        <v>23</v>
      </c>
      <c r="D6" s="61" t="s">
        <v>25</v>
      </c>
      <c r="E6" s="62" t="s">
        <v>24</v>
      </c>
      <c r="F6" s="62" t="s">
        <v>25</v>
      </c>
      <c r="G6" s="62" t="s">
        <v>25</v>
      </c>
      <c r="H6" s="62" t="s">
        <v>25</v>
      </c>
      <c r="I6" s="62" t="s">
        <v>24</v>
      </c>
      <c r="J6" s="62" t="s">
        <v>25</v>
      </c>
      <c r="K6" s="62" t="s">
        <v>24</v>
      </c>
      <c r="L6" s="62" t="s">
        <v>24</v>
      </c>
      <c r="M6" s="62" t="s">
        <v>25</v>
      </c>
      <c r="N6" s="62" t="s">
        <v>25</v>
      </c>
      <c r="O6" s="80"/>
    </row>
    <row r="7" hidden="1">
      <c r="A7" s="66"/>
      <c r="B7" s="59"/>
      <c r="C7" s="67"/>
      <c r="D7" s="61"/>
      <c r="E7" s="65">
        <f t="shared" ref="E7:N7" si="3">if(E6=$D$6,1,0)</f>
        <v>0</v>
      </c>
      <c r="F7" s="65">
        <f t="shared" si="3"/>
        <v>1</v>
      </c>
      <c r="G7" s="65">
        <f t="shared" si="3"/>
        <v>1</v>
      </c>
      <c r="H7" s="65">
        <f t="shared" si="3"/>
        <v>1</v>
      </c>
      <c r="I7" s="65">
        <f t="shared" si="3"/>
        <v>0</v>
      </c>
      <c r="J7" s="65">
        <f t="shared" si="3"/>
        <v>1</v>
      </c>
      <c r="K7" s="65">
        <f t="shared" si="3"/>
        <v>0</v>
      </c>
      <c r="L7" s="65">
        <f t="shared" si="3"/>
        <v>0</v>
      </c>
      <c r="M7" s="65">
        <f t="shared" si="3"/>
        <v>1</v>
      </c>
      <c r="N7" s="65">
        <f t="shared" si="3"/>
        <v>1</v>
      </c>
      <c r="O7" s="82"/>
    </row>
    <row r="8">
      <c r="A8" s="66">
        <v>3.0</v>
      </c>
      <c r="B8" s="59" t="s">
        <v>107</v>
      </c>
      <c r="C8" s="67" t="s">
        <v>33</v>
      </c>
      <c r="D8" s="61" t="s">
        <v>34</v>
      </c>
      <c r="E8" s="62" t="s">
        <v>34</v>
      </c>
      <c r="F8" s="62" t="s">
        <v>35</v>
      </c>
      <c r="G8" s="62" t="s">
        <v>35</v>
      </c>
      <c r="H8" s="62" t="s">
        <v>34</v>
      </c>
      <c r="I8" s="62" t="s">
        <v>34</v>
      </c>
      <c r="J8" s="62" t="s">
        <v>34</v>
      </c>
      <c r="K8" s="62" t="s">
        <v>35</v>
      </c>
      <c r="L8" s="62" t="s">
        <v>35</v>
      </c>
      <c r="M8" s="62" t="s">
        <v>34</v>
      </c>
      <c r="N8" s="62" t="s">
        <v>35</v>
      </c>
      <c r="O8" s="80"/>
    </row>
    <row r="9" hidden="1">
      <c r="A9" s="66"/>
      <c r="B9" s="59"/>
      <c r="C9" s="67"/>
      <c r="D9" s="61"/>
      <c r="E9" s="65">
        <f t="shared" ref="E9:N9" si="4">if(E8=$D$8,1,0)</f>
        <v>1</v>
      </c>
      <c r="F9" s="65">
        <f t="shared" si="4"/>
        <v>0</v>
      </c>
      <c r="G9" s="65">
        <f t="shared" si="4"/>
        <v>0</v>
      </c>
      <c r="H9" s="65">
        <f t="shared" si="4"/>
        <v>1</v>
      </c>
      <c r="I9" s="65">
        <f t="shared" si="4"/>
        <v>1</v>
      </c>
      <c r="J9" s="65">
        <f t="shared" si="4"/>
        <v>1</v>
      </c>
      <c r="K9" s="65">
        <f t="shared" si="4"/>
        <v>0</v>
      </c>
      <c r="L9" s="65">
        <f t="shared" si="4"/>
        <v>0</v>
      </c>
      <c r="M9" s="65">
        <f t="shared" si="4"/>
        <v>1</v>
      </c>
      <c r="N9" s="65">
        <f t="shared" si="4"/>
        <v>0</v>
      </c>
      <c r="O9" s="82"/>
    </row>
    <row r="10">
      <c r="A10" s="66">
        <v>4.0</v>
      </c>
      <c r="B10" s="59" t="s">
        <v>32</v>
      </c>
      <c r="C10" s="67" t="s">
        <v>33</v>
      </c>
      <c r="D10" s="61" t="s">
        <v>34</v>
      </c>
      <c r="E10" s="62" t="s">
        <v>35</v>
      </c>
      <c r="F10" s="62" t="s">
        <v>35</v>
      </c>
      <c r="G10" s="62" t="s">
        <v>35</v>
      </c>
      <c r="H10" s="62" t="s">
        <v>35</v>
      </c>
      <c r="I10" s="62" t="s">
        <v>35</v>
      </c>
      <c r="J10" s="62" t="s">
        <v>34</v>
      </c>
      <c r="K10" s="62" t="s">
        <v>35</v>
      </c>
      <c r="L10" s="62" t="s">
        <v>35</v>
      </c>
      <c r="M10" s="62" t="s">
        <v>34</v>
      </c>
      <c r="N10" s="62" t="s">
        <v>35</v>
      </c>
      <c r="O10" s="80"/>
    </row>
    <row r="11" hidden="1">
      <c r="A11" s="66"/>
      <c r="B11" s="59"/>
      <c r="C11" s="67"/>
      <c r="D11" s="61"/>
      <c r="E11" s="65">
        <f t="shared" ref="E11:N11" si="5">if(E10=$D10,1,0)</f>
        <v>0</v>
      </c>
      <c r="F11" s="65">
        <f t="shared" si="5"/>
        <v>0</v>
      </c>
      <c r="G11" s="65">
        <f t="shared" si="5"/>
        <v>0</v>
      </c>
      <c r="H11" s="65">
        <f t="shared" si="5"/>
        <v>0</v>
      </c>
      <c r="I11" s="65">
        <f t="shared" si="5"/>
        <v>0</v>
      </c>
      <c r="J11" s="65">
        <f t="shared" si="5"/>
        <v>1</v>
      </c>
      <c r="K11" s="65">
        <f t="shared" si="5"/>
        <v>0</v>
      </c>
      <c r="L11" s="65">
        <f t="shared" si="5"/>
        <v>0</v>
      </c>
      <c r="M11" s="65">
        <f t="shared" si="5"/>
        <v>1</v>
      </c>
      <c r="N11" s="65">
        <f t="shared" si="5"/>
        <v>0</v>
      </c>
      <c r="O11" s="82"/>
    </row>
    <row r="12">
      <c r="A12" s="66">
        <v>5.0</v>
      </c>
      <c r="B12" s="59" t="s">
        <v>108</v>
      </c>
      <c r="C12" s="67" t="s">
        <v>18</v>
      </c>
      <c r="D12" s="61" t="s">
        <v>20</v>
      </c>
      <c r="E12" s="62" t="s">
        <v>19</v>
      </c>
      <c r="F12" s="62" t="s">
        <v>19</v>
      </c>
      <c r="G12" s="62" t="s">
        <v>20</v>
      </c>
      <c r="H12" s="62" t="s">
        <v>20</v>
      </c>
      <c r="I12" s="62" t="s">
        <v>19</v>
      </c>
      <c r="J12" s="62" t="s">
        <v>19</v>
      </c>
      <c r="K12" s="62" t="s">
        <v>19</v>
      </c>
      <c r="L12" s="62" t="s">
        <v>19</v>
      </c>
      <c r="M12" s="62" t="s">
        <v>20</v>
      </c>
      <c r="N12" s="62" t="s">
        <v>19</v>
      </c>
      <c r="O12" s="80"/>
    </row>
    <row r="13" hidden="1">
      <c r="A13" s="66"/>
      <c r="B13" s="59"/>
      <c r="C13" s="67"/>
      <c r="D13" s="61"/>
      <c r="E13" s="65">
        <f t="shared" ref="E13:N13" si="6">if(E12=$D12,1,0)</f>
        <v>0</v>
      </c>
      <c r="F13" s="65">
        <f t="shared" si="6"/>
        <v>0</v>
      </c>
      <c r="G13" s="65">
        <f t="shared" si="6"/>
        <v>1</v>
      </c>
      <c r="H13" s="65">
        <f t="shared" si="6"/>
        <v>1</v>
      </c>
      <c r="I13" s="65">
        <f t="shared" si="6"/>
        <v>0</v>
      </c>
      <c r="J13" s="65">
        <f t="shared" si="6"/>
        <v>0</v>
      </c>
      <c r="K13" s="65">
        <f t="shared" si="6"/>
        <v>0</v>
      </c>
      <c r="L13" s="65">
        <f t="shared" si="6"/>
        <v>0</v>
      </c>
      <c r="M13" s="65">
        <f t="shared" si="6"/>
        <v>1</v>
      </c>
      <c r="N13" s="65">
        <f t="shared" si="6"/>
        <v>0</v>
      </c>
      <c r="O13" s="82"/>
    </row>
    <row r="14">
      <c r="A14" s="66">
        <v>6.0</v>
      </c>
      <c r="B14" s="59" t="s">
        <v>109</v>
      </c>
      <c r="C14" s="67" t="s">
        <v>110</v>
      </c>
      <c r="D14" s="61" t="s">
        <v>111</v>
      </c>
      <c r="E14" s="62" t="s">
        <v>30</v>
      </c>
      <c r="F14" s="62" t="s">
        <v>30</v>
      </c>
      <c r="G14" s="62" t="s">
        <v>111</v>
      </c>
      <c r="H14" s="62" t="s">
        <v>111</v>
      </c>
      <c r="I14" s="62" t="s">
        <v>30</v>
      </c>
      <c r="J14" s="62" t="s">
        <v>111</v>
      </c>
      <c r="K14" s="62" t="s">
        <v>111</v>
      </c>
      <c r="L14" s="62" t="s">
        <v>111</v>
      </c>
      <c r="M14" s="62" t="s">
        <v>111</v>
      </c>
      <c r="N14" s="62" t="s">
        <v>30</v>
      </c>
      <c r="O14" s="80"/>
    </row>
    <row r="15" hidden="1">
      <c r="A15" s="66"/>
      <c r="B15" s="59"/>
      <c r="C15" s="67"/>
      <c r="D15" s="61" t="s">
        <v>15</v>
      </c>
      <c r="E15" s="65">
        <f t="shared" ref="E15:N15" si="7">if(E14=$D14,1,0)</f>
        <v>0</v>
      </c>
      <c r="F15" s="65">
        <f t="shared" si="7"/>
        <v>0</v>
      </c>
      <c r="G15" s="65">
        <f t="shared" si="7"/>
        <v>1</v>
      </c>
      <c r="H15" s="65">
        <f t="shared" si="7"/>
        <v>1</v>
      </c>
      <c r="I15" s="65">
        <f t="shared" si="7"/>
        <v>0</v>
      </c>
      <c r="J15" s="65">
        <f t="shared" si="7"/>
        <v>1</v>
      </c>
      <c r="K15" s="65">
        <f t="shared" si="7"/>
        <v>1</v>
      </c>
      <c r="L15" s="65">
        <f t="shared" si="7"/>
        <v>1</v>
      </c>
      <c r="M15" s="65">
        <f t="shared" si="7"/>
        <v>1</v>
      </c>
      <c r="N15" s="65">
        <f t="shared" si="7"/>
        <v>0</v>
      </c>
      <c r="O15" s="82"/>
    </row>
    <row r="16">
      <c r="A16" s="66">
        <v>7.0</v>
      </c>
      <c r="B16" s="59" t="s">
        <v>112</v>
      </c>
      <c r="C16" s="67" t="s">
        <v>18</v>
      </c>
      <c r="D16" s="61" t="s">
        <v>20</v>
      </c>
      <c r="E16" s="62" t="s">
        <v>19</v>
      </c>
      <c r="F16" s="62" t="s">
        <v>19</v>
      </c>
      <c r="G16" s="62" t="s">
        <v>19</v>
      </c>
      <c r="H16" s="62" t="s">
        <v>20</v>
      </c>
      <c r="I16" s="62" t="s">
        <v>19</v>
      </c>
      <c r="J16" s="62" t="s">
        <v>20</v>
      </c>
      <c r="K16" s="62" t="s">
        <v>19</v>
      </c>
      <c r="L16" s="62" t="s">
        <v>19</v>
      </c>
      <c r="M16" s="62" t="s">
        <v>19</v>
      </c>
      <c r="N16" s="62" t="s">
        <v>19</v>
      </c>
      <c r="O16" s="80"/>
    </row>
    <row r="17" hidden="1">
      <c r="A17" s="66"/>
      <c r="B17" s="59"/>
      <c r="C17" s="67"/>
      <c r="D17" s="61"/>
      <c r="E17" s="65">
        <f t="shared" ref="E17:N17" si="8">if(E16=$D16,1,0)</f>
        <v>0</v>
      </c>
      <c r="F17" s="65">
        <f t="shared" si="8"/>
        <v>0</v>
      </c>
      <c r="G17" s="65">
        <f t="shared" si="8"/>
        <v>0</v>
      </c>
      <c r="H17" s="65">
        <f t="shared" si="8"/>
        <v>1</v>
      </c>
      <c r="I17" s="65">
        <f t="shared" si="8"/>
        <v>0</v>
      </c>
      <c r="J17" s="65">
        <f t="shared" si="8"/>
        <v>1</v>
      </c>
      <c r="K17" s="65">
        <f t="shared" si="8"/>
        <v>0</v>
      </c>
      <c r="L17" s="65">
        <f t="shared" si="8"/>
        <v>0</v>
      </c>
      <c r="M17" s="65">
        <f t="shared" si="8"/>
        <v>0</v>
      </c>
      <c r="N17" s="65">
        <f t="shared" si="8"/>
        <v>0</v>
      </c>
      <c r="O17" s="82"/>
    </row>
    <row r="18">
      <c r="A18" s="66">
        <v>8.0</v>
      </c>
      <c r="B18" s="59" t="s">
        <v>40</v>
      </c>
      <c r="C18" s="67" t="s">
        <v>18</v>
      </c>
      <c r="D18" s="61" t="s">
        <v>19</v>
      </c>
      <c r="E18" s="62" t="s">
        <v>20</v>
      </c>
      <c r="F18" s="62" t="s">
        <v>19</v>
      </c>
      <c r="G18" s="62" t="s">
        <v>20</v>
      </c>
      <c r="H18" s="62" t="s">
        <v>20</v>
      </c>
      <c r="I18" s="62" t="s">
        <v>20</v>
      </c>
      <c r="J18" s="62" t="s">
        <v>20</v>
      </c>
      <c r="K18" s="62" t="s">
        <v>20</v>
      </c>
      <c r="L18" s="62" t="s">
        <v>19</v>
      </c>
      <c r="M18" s="62" t="s">
        <v>20</v>
      </c>
      <c r="N18" s="62" t="s">
        <v>20</v>
      </c>
      <c r="O18" s="80"/>
    </row>
    <row r="19" hidden="1">
      <c r="A19" s="66"/>
      <c r="B19" s="59"/>
      <c r="C19" s="67"/>
      <c r="D19" s="61"/>
      <c r="E19" s="65">
        <f t="shared" ref="E19:N19" si="9">if(E18=$D18,1,0)</f>
        <v>0</v>
      </c>
      <c r="F19" s="65">
        <f t="shared" si="9"/>
        <v>1</v>
      </c>
      <c r="G19" s="65">
        <f t="shared" si="9"/>
        <v>0</v>
      </c>
      <c r="H19" s="65">
        <f t="shared" si="9"/>
        <v>0</v>
      </c>
      <c r="I19" s="65">
        <f t="shared" si="9"/>
        <v>0</v>
      </c>
      <c r="J19" s="65">
        <f t="shared" si="9"/>
        <v>0</v>
      </c>
      <c r="K19" s="65">
        <f t="shared" si="9"/>
        <v>0</v>
      </c>
      <c r="L19" s="65">
        <f t="shared" si="9"/>
        <v>1</v>
      </c>
      <c r="M19" s="65">
        <f t="shared" si="9"/>
        <v>0</v>
      </c>
      <c r="N19" s="65">
        <f t="shared" si="9"/>
        <v>0</v>
      </c>
      <c r="O19" s="82"/>
    </row>
    <row r="20">
      <c r="A20" s="66">
        <v>9.0</v>
      </c>
      <c r="B20" s="59" t="s">
        <v>113</v>
      </c>
      <c r="C20" s="67" t="s">
        <v>18</v>
      </c>
      <c r="D20" s="61" t="s">
        <v>20</v>
      </c>
      <c r="E20" s="62" t="s">
        <v>20</v>
      </c>
      <c r="F20" s="62" t="s">
        <v>19</v>
      </c>
      <c r="G20" s="62" t="s">
        <v>20</v>
      </c>
      <c r="H20" s="62" t="s">
        <v>20</v>
      </c>
      <c r="I20" s="62" t="s">
        <v>20</v>
      </c>
      <c r="J20" s="62" t="s">
        <v>20</v>
      </c>
      <c r="K20" s="62" t="s">
        <v>20</v>
      </c>
      <c r="L20" s="62" t="s">
        <v>20</v>
      </c>
      <c r="M20" s="62" t="s">
        <v>20</v>
      </c>
      <c r="N20" s="62" t="s">
        <v>20</v>
      </c>
      <c r="O20" s="80"/>
    </row>
    <row r="21" hidden="1">
      <c r="A21" s="66"/>
      <c r="B21" s="59"/>
      <c r="C21" s="67"/>
      <c r="D21" s="61"/>
      <c r="E21" s="65">
        <f t="shared" ref="E21:N21" si="10">if(E20=$D20,1,0)</f>
        <v>1</v>
      </c>
      <c r="F21" s="65">
        <f t="shared" si="10"/>
        <v>0</v>
      </c>
      <c r="G21" s="65">
        <f t="shared" si="10"/>
        <v>1</v>
      </c>
      <c r="H21" s="65">
        <f t="shared" si="10"/>
        <v>1</v>
      </c>
      <c r="I21" s="65">
        <f t="shared" si="10"/>
        <v>1</v>
      </c>
      <c r="J21" s="65">
        <f t="shared" si="10"/>
        <v>1</v>
      </c>
      <c r="K21" s="65">
        <f t="shared" si="10"/>
        <v>1</v>
      </c>
      <c r="L21" s="65">
        <f t="shared" si="10"/>
        <v>1</v>
      </c>
      <c r="M21" s="65">
        <f t="shared" si="10"/>
        <v>1</v>
      </c>
      <c r="N21" s="65">
        <f t="shared" si="10"/>
        <v>1</v>
      </c>
      <c r="O21" s="82"/>
    </row>
    <row r="22">
      <c r="A22" s="66">
        <v>10.0</v>
      </c>
      <c r="B22" s="59" t="s">
        <v>114</v>
      </c>
      <c r="C22" s="67" t="s">
        <v>33</v>
      </c>
      <c r="D22" s="61" t="s">
        <v>35</v>
      </c>
      <c r="E22" s="62" t="s">
        <v>34</v>
      </c>
      <c r="F22" s="62" t="s">
        <v>35</v>
      </c>
      <c r="G22" s="62" t="s">
        <v>35</v>
      </c>
      <c r="H22" s="62" t="s">
        <v>35</v>
      </c>
      <c r="I22" s="62" t="s">
        <v>35</v>
      </c>
      <c r="J22" s="62" t="s">
        <v>35</v>
      </c>
      <c r="K22" s="62" t="s">
        <v>35</v>
      </c>
      <c r="L22" s="62" t="s">
        <v>34</v>
      </c>
      <c r="M22" s="62" t="s">
        <v>35</v>
      </c>
      <c r="N22" s="62" t="s">
        <v>35</v>
      </c>
      <c r="O22" s="80"/>
    </row>
    <row r="23" hidden="1">
      <c r="A23" s="66"/>
      <c r="B23" s="59"/>
      <c r="C23" s="67"/>
      <c r="D23" s="61"/>
      <c r="E23" s="65">
        <f t="shared" ref="E23:N23" si="11">if(E22=$D22,1,0)</f>
        <v>0</v>
      </c>
      <c r="F23" s="65">
        <f t="shared" si="11"/>
        <v>1</v>
      </c>
      <c r="G23" s="65">
        <f t="shared" si="11"/>
        <v>1</v>
      </c>
      <c r="H23" s="65">
        <f t="shared" si="11"/>
        <v>1</v>
      </c>
      <c r="I23" s="65">
        <f t="shared" si="11"/>
        <v>1</v>
      </c>
      <c r="J23" s="65">
        <f t="shared" si="11"/>
        <v>1</v>
      </c>
      <c r="K23" s="65">
        <f t="shared" si="11"/>
        <v>1</v>
      </c>
      <c r="L23" s="65">
        <f t="shared" si="11"/>
        <v>0</v>
      </c>
      <c r="M23" s="65">
        <f t="shared" si="11"/>
        <v>1</v>
      </c>
      <c r="N23" s="65">
        <f t="shared" si="11"/>
        <v>1</v>
      </c>
      <c r="O23" s="82"/>
    </row>
    <row r="24">
      <c r="A24" s="66">
        <v>11.0</v>
      </c>
      <c r="B24" s="59" t="s">
        <v>115</v>
      </c>
      <c r="C24" s="67" t="s">
        <v>18</v>
      </c>
      <c r="D24" s="61" t="s">
        <v>20</v>
      </c>
      <c r="E24" s="62" t="s">
        <v>20</v>
      </c>
      <c r="F24" s="62" t="s">
        <v>19</v>
      </c>
      <c r="G24" s="62" t="s">
        <v>19</v>
      </c>
      <c r="H24" s="62" t="s">
        <v>19</v>
      </c>
      <c r="I24" s="62" t="s">
        <v>19</v>
      </c>
      <c r="J24" s="62" t="s">
        <v>19</v>
      </c>
      <c r="K24" s="62" t="s">
        <v>19</v>
      </c>
      <c r="L24" s="62" t="s">
        <v>19</v>
      </c>
      <c r="M24" s="62" t="s">
        <v>19</v>
      </c>
      <c r="N24" s="62" t="s">
        <v>19</v>
      </c>
      <c r="O24" s="80"/>
    </row>
    <row r="25" hidden="1">
      <c r="A25" s="66"/>
      <c r="B25" s="59"/>
      <c r="C25" s="67"/>
      <c r="D25" s="61"/>
      <c r="E25" s="65">
        <f t="shared" ref="E25:N25" si="12">if(E24=$D24,1,0)</f>
        <v>1</v>
      </c>
      <c r="F25" s="65">
        <f t="shared" si="12"/>
        <v>0</v>
      </c>
      <c r="G25" s="65">
        <f t="shared" si="12"/>
        <v>0</v>
      </c>
      <c r="H25" s="65">
        <f t="shared" si="12"/>
        <v>0</v>
      </c>
      <c r="I25" s="65">
        <f t="shared" si="12"/>
        <v>0</v>
      </c>
      <c r="J25" s="65">
        <f t="shared" si="12"/>
        <v>0</v>
      </c>
      <c r="K25" s="65">
        <f t="shared" si="12"/>
        <v>0</v>
      </c>
      <c r="L25" s="65">
        <f t="shared" si="12"/>
        <v>0</v>
      </c>
      <c r="M25" s="65">
        <f t="shared" si="12"/>
        <v>0</v>
      </c>
      <c r="N25" s="65">
        <f t="shared" si="12"/>
        <v>0</v>
      </c>
      <c r="O25" s="82"/>
    </row>
    <row r="26">
      <c r="A26" s="66">
        <v>12.0</v>
      </c>
      <c r="B26" s="59" t="s">
        <v>116</v>
      </c>
      <c r="C26" s="67" t="s">
        <v>18</v>
      </c>
      <c r="D26" s="61" t="s">
        <v>20</v>
      </c>
      <c r="E26" s="62" t="s">
        <v>20</v>
      </c>
      <c r="F26" s="62" t="s">
        <v>19</v>
      </c>
      <c r="G26" s="62" t="s">
        <v>19</v>
      </c>
      <c r="H26" s="62" t="s">
        <v>20</v>
      </c>
      <c r="I26" s="62" t="s">
        <v>19</v>
      </c>
      <c r="J26" s="62" t="s">
        <v>19</v>
      </c>
      <c r="K26" s="62" t="s">
        <v>20</v>
      </c>
      <c r="L26" s="62" t="s">
        <v>20</v>
      </c>
      <c r="M26" s="62" t="s">
        <v>19</v>
      </c>
      <c r="N26" s="62" t="s">
        <v>20</v>
      </c>
      <c r="O26" s="80"/>
    </row>
    <row r="27" hidden="1">
      <c r="A27" s="66"/>
      <c r="B27" s="59"/>
      <c r="C27" s="67"/>
      <c r="D27" s="61"/>
      <c r="E27" s="65">
        <f t="shared" ref="E27:N27" si="13">if(E26=$D26,1,0)</f>
        <v>1</v>
      </c>
      <c r="F27" s="65">
        <f t="shared" si="13"/>
        <v>0</v>
      </c>
      <c r="G27" s="65">
        <f t="shared" si="13"/>
        <v>0</v>
      </c>
      <c r="H27" s="65">
        <f t="shared" si="13"/>
        <v>1</v>
      </c>
      <c r="I27" s="65">
        <f t="shared" si="13"/>
        <v>0</v>
      </c>
      <c r="J27" s="65">
        <f t="shared" si="13"/>
        <v>0</v>
      </c>
      <c r="K27" s="65">
        <f t="shared" si="13"/>
        <v>1</v>
      </c>
      <c r="L27" s="65">
        <f t="shared" si="13"/>
        <v>1</v>
      </c>
      <c r="M27" s="65">
        <f t="shared" si="13"/>
        <v>0</v>
      </c>
      <c r="N27" s="65">
        <f t="shared" si="13"/>
        <v>1</v>
      </c>
      <c r="O27" s="82"/>
    </row>
    <row r="28">
      <c r="A28" s="66">
        <v>13.0</v>
      </c>
      <c r="B28" s="59" t="s">
        <v>117</v>
      </c>
      <c r="C28" s="67" t="s">
        <v>18</v>
      </c>
      <c r="D28" s="61" t="s">
        <v>19</v>
      </c>
      <c r="E28" s="62" t="s">
        <v>20</v>
      </c>
      <c r="F28" s="62" t="s">
        <v>20</v>
      </c>
      <c r="G28" s="62" t="s">
        <v>19</v>
      </c>
      <c r="H28" s="62" t="s">
        <v>19</v>
      </c>
      <c r="I28" s="62" t="s">
        <v>19</v>
      </c>
      <c r="J28" s="62" t="s">
        <v>19</v>
      </c>
      <c r="K28" s="62" t="s">
        <v>19</v>
      </c>
      <c r="L28" s="62" t="s">
        <v>20</v>
      </c>
      <c r="M28" s="62" t="s">
        <v>19</v>
      </c>
      <c r="N28" s="62" t="s">
        <v>19</v>
      </c>
      <c r="O28" s="80"/>
    </row>
    <row r="29" hidden="1">
      <c r="A29" s="66"/>
      <c r="B29" s="59"/>
      <c r="C29" s="67"/>
      <c r="D29" s="61"/>
      <c r="E29" s="65">
        <f t="shared" ref="E29:N29" si="14">if(E28=$D28,1,0)</f>
        <v>0</v>
      </c>
      <c r="F29" s="65">
        <f t="shared" si="14"/>
        <v>0</v>
      </c>
      <c r="G29" s="65">
        <f t="shared" si="14"/>
        <v>1</v>
      </c>
      <c r="H29" s="65">
        <f t="shared" si="14"/>
        <v>1</v>
      </c>
      <c r="I29" s="65">
        <f t="shared" si="14"/>
        <v>1</v>
      </c>
      <c r="J29" s="65">
        <f t="shared" si="14"/>
        <v>1</v>
      </c>
      <c r="K29" s="65">
        <f t="shared" si="14"/>
        <v>1</v>
      </c>
      <c r="L29" s="65">
        <f t="shared" si="14"/>
        <v>0</v>
      </c>
      <c r="M29" s="65">
        <f t="shared" si="14"/>
        <v>1</v>
      </c>
      <c r="N29" s="65">
        <f t="shared" si="14"/>
        <v>1</v>
      </c>
      <c r="O29" s="82"/>
    </row>
    <row r="30">
      <c r="A30" s="66">
        <v>14.0</v>
      </c>
      <c r="B30" s="59" t="s">
        <v>118</v>
      </c>
      <c r="C30" s="67" t="s">
        <v>18</v>
      </c>
      <c r="D30" s="61" t="s">
        <v>19</v>
      </c>
      <c r="E30" s="62" t="s">
        <v>20</v>
      </c>
      <c r="F30" s="62" t="s">
        <v>20</v>
      </c>
      <c r="G30" s="62" t="s">
        <v>20</v>
      </c>
      <c r="H30" s="62" t="s">
        <v>20</v>
      </c>
      <c r="I30" s="62" t="s">
        <v>19</v>
      </c>
      <c r="J30" s="62" t="s">
        <v>19</v>
      </c>
      <c r="K30" s="62" t="s">
        <v>20</v>
      </c>
      <c r="L30" s="62" t="s">
        <v>19</v>
      </c>
      <c r="M30" s="62" t="s">
        <v>20</v>
      </c>
      <c r="N30" s="62" t="s">
        <v>20</v>
      </c>
      <c r="O30" s="80"/>
    </row>
    <row r="31" hidden="1">
      <c r="A31" s="66"/>
      <c r="B31" s="59"/>
      <c r="C31" s="67"/>
      <c r="D31" s="61"/>
      <c r="E31" s="65">
        <f t="shared" ref="E31:N31" si="15">if(E30=$D30,1,0)</f>
        <v>0</v>
      </c>
      <c r="F31" s="65">
        <f t="shared" si="15"/>
        <v>0</v>
      </c>
      <c r="G31" s="65">
        <f t="shared" si="15"/>
        <v>0</v>
      </c>
      <c r="H31" s="65">
        <f t="shared" si="15"/>
        <v>0</v>
      </c>
      <c r="I31" s="65">
        <f t="shared" si="15"/>
        <v>1</v>
      </c>
      <c r="J31" s="65">
        <f t="shared" si="15"/>
        <v>1</v>
      </c>
      <c r="K31" s="65">
        <f t="shared" si="15"/>
        <v>0</v>
      </c>
      <c r="L31" s="65">
        <f t="shared" si="15"/>
        <v>1</v>
      </c>
      <c r="M31" s="65">
        <f t="shared" si="15"/>
        <v>0</v>
      </c>
      <c r="N31" s="65">
        <f t="shared" si="15"/>
        <v>0</v>
      </c>
      <c r="O31" s="82"/>
    </row>
    <row r="32">
      <c r="A32" s="66">
        <v>15.0</v>
      </c>
      <c r="B32" s="59" t="s">
        <v>119</v>
      </c>
      <c r="C32" s="67" t="s">
        <v>33</v>
      </c>
      <c r="D32" s="61" t="s">
        <v>34</v>
      </c>
      <c r="E32" s="62" t="s">
        <v>35</v>
      </c>
      <c r="F32" s="62" t="s">
        <v>34</v>
      </c>
      <c r="G32" s="62" t="s">
        <v>34</v>
      </c>
      <c r="H32" s="62" t="s">
        <v>35</v>
      </c>
      <c r="I32" s="62" t="s">
        <v>35</v>
      </c>
      <c r="J32" s="62" t="s">
        <v>35</v>
      </c>
      <c r="K32" s="62" t="s">
        <v>34</v>
      </c>
      <c r="L32" s="62" t="s">
        <v>34</v>
      </c>
      <c r="M32" s="62" t="s">
        <v>35</v>
      </c>
      <c r="N32" s="62" t="s">
        <v>34</v>
      </c>
      <c r="O32" s="80"/>
    </row>
    <row r="33" hidden="1">
      <c r="A33" s="66"/>
      <c r="B33" s="59"/>
      <c r="C33" s="67"/>
      <c r="D33" s="61"/>
      <c r="E33" s="65">
        <f t="shared" ref="E33:N33" si="16">if(E32=$D32,1,0)</f>
        <v>0</v>
      </c>
      <c r="F33" s="65">
        <f t="shared" si="16"/>
        <v>1</v>
      </c>
      <c r="G33" s="65">
        <f t="shared" si="16"/>
        <v>1</v>
      </c>
      <c r="H33" s="65">
        <f t="shared" si="16"/>
        <v>0</v>
      </c>
      <c r="I33" s="65">
        <f t="shared" si="16"/>
        <v>0</v>
      </c>
      <c r="J33" s="65">
        <f t="shared" si="16"/>
        <v>0</v>
      </c>
      <c r="K33" s="65">
        <f t="shared" si="16"/>
        <v>1</v>
      </c>
      <c r="L33" s="65">
        <f t="shared" si="16"/>
        <v>1</v>
      </c>
      <c r="M33" s="65">
        <f t="shared" si="16"/>
        <v>0</v>
      </c>
      <c r="N33" s="65">
        <f t="shared" si="16"/>
        <v>1</v>
      </c>
      <c r="O33" s="82"/>
    </row>
    <row r="34">
      <c r="A34" s="66">
        <v>16.0</v>
      </c>
      <c r="B34" s="59" t="s">
        <v>82</v>
      </c>
      <c r="C34" s="67" t="s">
        <v>18</v>
      </c>
      <c r="D34" s="61" t="s">
        <v>19</v>
      </c>
      <c r="E34" s="62" t="s">
        <v>20</v>
      </c>
      <c r="F34" s="62" t="s">
        <v>19</v>
      </c>
      <c r="G34" s="62" t="s">
        <v>19</v>
      </c>
      <c r="H34" s="62" t="s">
        <v>19</v>
      </c>
      <c r="I34" s="62" t="s">
        <v>19</v>
      </c>
      <c r="J34" s="62" t="s">
        <v>19</v>
      </c>
      <c r="K34" s="62" t="s">
        <v>19</v>
      </c>
      <c r="L34" s="62" t="s">
        <v>19</v>
      </c>
      <c r="M34" s="62" t="s">
        <v>19</v>
      </c>
      <c r="N34" s="62" t="s">
        <v>19</v>
      </c>
      <c r="O34" s="80"/>
    </row>
    <row r="35" hidden="1">
      <c r="A35" s="66"/>
      <c r="B35" s="59"/>
      <c r="C35" s="67"/>
      <c r="D35" s="61"/>
      <c r="E35" s="68">
        <f t="shared" ref="E35:N35" si="17">if(E34=$D34,1,0)</f>
        <v>0</v>
      </c>
      <c r="F35" s="68">
        <f t="shared" si="17"/>
        <v>1</v>
      </c>
      <c r="G35" s="68">
        <f t="shared" si="17"/>
        <v>1</v>
      </c>
      <c r="H35" s="68">
        <f t="shared" si="17"/>
        <v>1</v>
      </c>
      <c r="I35" s="68">
        <f t="shared" si="17"/>
        <v>1</v>
      </c>
      <c r="J35" s="68">
        <f t="shared" si="17"/>
        <v>1</v>
      </c>
      <c r="K35" s="68">
        <f t="shared" si="17"/>
        <v>1</v>
      </c>
      <c r="L35" s="68">
        <f t="shared" si="17"/>
        <v>1</v>
      </c>
      <c r="M35" s="68">
        <f t="shared" si="17"/>
        <v>1</v>
      </c>
      <c r="N35" s="68">
        <f t="shared" si="17"/>
        <v>1</v>
      </c>
      <c r="O35" s="82"/>
    </row>
    <row r="36">
      <c r="A36" s="66">
        <v>17.0</v>
      </c>
      <c r="B36" s="59" t="s">
        <v>53</v>
      </c>
      <c r="C36" s="67" t="s">
        <v>33</v>
      </c>
      <c r="D36" s="61" t="s">
        <v>34</v>
      </c>
      <c r="E36" s="62" t="s">
        <v>35</v>
      </c>
      <c r="F36" s="62" t="s">
        <v>34</v>
      </c>
      <c r="G36" s="62" t="s">
        <v>35</v>
      </c>
      <c r="H36" s="62" t="s">
        <v>35</v>
      </c>
      <c r="I36" s="62" t="s">
        <v>34</v>
      </c>
      <c r="J36" s="62" t="s">
        <v>34</v>
      </c>
      <c r="K36" s="62" t="s">
        <v>35</v>
      </c>
      <c r="L36" s="62" t="s">
        <v>35</v>
      </c>
      <c r="M36" s="62" t="s">
        <v>34</v>
      </c>
      <c r="N36" s="62" t="s">
        <v>35</v>
      </c>
      <c r="O36" s="80"/>
    </row>
    <row r="37" hidden="1">
      <c r="A37" s="66"/>
      <c r="B37" s="59"/>
      <c r="C37" s="67"/>
      <c r="D37" s="61"/>
      <c r="E37" s="65">
        <f t="shared" ref="E37:N37" si="18">if(E36=$D36,1,0)</f>
        <v>0</v>
      </c>
      <c r="F37" s="65">
        <f t="shared" si="18"/>
        <v>1</v>
      </c>
      <c r="G37" s="65">
        <f t="shared" si="18"/>
        <v>0</v>
      </c>
      <c r="H37" s="65">
        <f t="shared" si="18"/>
        <v>0</v>
      </c>
      <c r="I37" s="65">
        <f t="shared" si="18"/>
        <v>1</v>
      </c>
      <c r="J37" s="65">
        <f t="shared" si="18"/>
        <v>1</v>
      </c>
      <c r="K37" s="65">
        <f t="shared" si="18"/>
        <v>0</v>
      </c>
      <c r="L37" s="65">
        <f t="shared" si="18"/>
        <v>0</v>
      </c>
      <c r="M37" s="65">
        <f t="shared" si="18"/>
        <v>1</v>
      </c>
      <c r="N37" s="65">
        <f t="shared" si="18"/>
        <v>0</v>
      </c>
      <c r="O37" s="82"/>
    </row>
    <row r="38">
      <c r="A38" s="66">
        <v>18.0</v>
      </c>
      <c r="B38" s="59" t="s">
        <v>54</v>
      </c>
      <c r="C38" s="67" t="s">
        <v>110</v>
      </c>
      <c r="D38" s="61" t="s">
        <v>111</v>
      </c>
      <c r="E38" s="62" t="s">
        <v>111</v>
      </c>
      <c r="F38" s="62" t="s">
        <v>30</v>
      </c>
      <c r="G38" s="62" t="s">
        <v>111</v>
      </c>
      <c r="H38" s="62" t="s">
        <v>30</v>
      </c>
      <c r="I38" s="62" t="s">
        <v>111</v>
      </c>
      <c r="J38" s="62" t="s">
        <v>111</v>
      </c>
      <c r="K38" s="62" t="s">
        <v>30</v>
      </c>
      <c r="L38" s="62" t="s">
        <v>30</v>
      </c>
      <c r="M38" s="62" t="s">
        <v>111</v>
      </c>
      <c r="N38" s="62" t="s">
        <v>111</v>
      </c>
      <c r="O38" s="80"/>
    </row>
    <row r="39" hidden="1">
      <c r="A39" s="66"/>
      <c r="B39" s="59"/>
      <c r="C39" s="67"/>
      <c r="D39" s="61"/>
      <c r="E39" s="65">
        <f t="shared" ref="E39:N39" si="19">if(E38=$D38,1,0)</f>
        <v>1</v>
      </c>
      <c r="F39" s="65">
        <f t="shared" si="19"/>
        <v>0</v>
      </c>
      <c r="G39" s="65">
        <f t="shared" si="19"/>
        <v>1</v>
      </c>
      <c r="H39" s="65">
        <f t="shared" si="19"/>
        <v>0</v>
      </c>
      <c r="I39" s="65">
        <f t="shared" si="19"/>
        <v>1</v>
      </c>
      <c r="J39" s="65">
        <f t="shared" si="19"/>
        <v>1</v>
      </c>
      <c r="K39" s="65">
        <f t="shared" si="19"/>
        <v>0</v>
      </c>
      <c r="L39" s="65">
        <f t="shared" si="19"/>
        <v>0</v>
      </c>
      <c r="M39" s="65">
        <f t="shared" si="19"/>
        <v>1</v>
      </c>
      <c r="N39" s="65">
        <f t="shared" si="19"/>
        <v>1</v>
      </c>
      <c r="O39" s="82"/>
    </row>
    <row r="40">
      <c r="A40" s="66">
        <v>19.0</v>
      </c>
      <c r="B40" s="59" t="s">
        <v>55</v>
      </c>
      <c r="C40" s="67" t="s">
        <v>56</v>
      </c>
      <c r="D40" s="61" t="s">
        <v>57</v>
      </c>
      <c r="E40" s="62" t="s">
        <v>19</v>
      </c>
      <c r="F40" s="62" t="s">
        <v>57</v>
      </c>
      <c r="G40" s="62" t="s">
        <v>57</v>
      </c>
      <c r="H40" s="62" t="s">
        <v>19</v>
      </c>
      <c r="I40" s="62" t="s">
        <v>19</v>
      </c>
      <c r="J40" s="62" t="s">
        <v>19</v>
      </c>
      <c r="K40" s="62" t="s">
        <v>19</v>
      </c>
      <c r="L40" s="62" t="s">
        <v>19</v>
      </c>
      <c r="M40" s="62" t="s">
        <v>57</v>
      </c>
      <c r="N40" s="62" t="s">
        <v>19</v>
      </c>
      <c r="O40" s="80"/>
    </row>
    <row r="41" hidden="1">
      <c r="A41" s="66"/>
      <c r="B41" s="59"/>
      <c r="C41" s="67"/>
      <c r="D41" s="61"/>
      <c r="E41" s="65">
        <f t="shared" ref="E41:N41" si="20">if(E40=$D40,1,0)</f>
        <v>0</v>
      </c>
      <c r="F41" s="65">
        <f t="shared" si="20"/>
        <v>1</v>
      </c>
      <c r="G41" s="65">
        <f t="shared" si="20"/>
        <v>1</v>
      </c>
      <c r="H41" s="65">
        <f t="shared" si="20"/>
        <v>0</v>
      </c>
      <c r="I41" s="65">
        <f t="shared" si="20"/>
        <v>0</v>
      </c>
      <c r="J41" s="65">
        <f t="shared" si="20"/>
        <v>0</v>
      </c>
      <c r="K41" s="65">
        <f t="shared" si="20"/>
        <v>0</v>
      </c>
      <c r="L41" s="65">
        <f t="shared" si="20"/>
        <v>0</v>
      </c>
      <c r="M41" s="65">
        <f t="shared" si="20"/>
        <v>1</v>
      </c>
      <c r="N41" s="65">
        <f t="shared" si="20"/>
        <v>0</v>
      </c>
      <c r="O41" s="82"/>
    </row>
    <row r="42">
      <c r="A42" s="66">
        <v>20.0</v>
      </c>
      <c r="B42" s="59" t="s">
        <v>58</v>
      </c>
      <c r="C42" s="67" t="s">
        <v>110</v>
      </c>
      <c r="D42" s="61" t="s">
        <v>111</v>
      </c>
      <c r="E42" s="62" t="s">
        <v>30</v>
      </c>
      <c r="F42" s="62" t="s">
        <v>30</v>
      </c>
      <c r="G42" s="62" t="s">
        <v>30</v>
      </c>
      <c r="H42" s="62" t="s">
        <v>111</v>
      </c>
      <c r="I42" s="62" t="s">
        <v>30</v>
      </c>
      <c r="J42" s="62" t="s">
        <v>111</v>
      </c>
      <c r="K42" s="62" t="s">
        <v>30</v>
      </c>
      <c r="L42" s="62" t="s">
        <v>30</v>
      </c>
      <c r="M42" s="62" t="s">
        <v>111</v>
      </c>
      <c r="N42" s="62" t="s">
        <v>111</v>
      </c>
      <c r="O42" s="80"/>
    </row>
    <row r="43" hidden="1">
      <c r="A43" s="66"/>
      <c r="B43" s="59"/>
      <c r="C43" s="67"/>
      <c r="D43" s="61"/>
      <c r="E43" s="65">
        <f t="shared" ref="E43:N43" si="21">if(E42=$D42,1,0)</f>
        <v>0</v>
      </c>
      <c r="F43" s="65">
        <f t="shared" si="21"/>
        <v>0</v>
      </c>
      <c r="G43" s="65">
        <f t="shared" si="21"/>
        <v>0</v>
      </c>
      <c r="H43" s="65">
        <f t="shared" si="21"/>
        <v>1</v>
      </c>
      <c r="I43" s="65">
        <f t="shared" si="21"/>
        <v>0</v>
      </c>
      <c r="J43" s="65">
        <f t="shared" si="21"/>
        <v>1</v>
      </c>
      <c r="K43" s="65">
        <f t="shared" si="21"/>
        <v>0</v>
      </c>
      <c r="L43" s="65">
        <f t="shared" si="21"/>
        <v>0</v>
      </c>
      <c r="M43" s="65">
        <f t="shared" si="21"/>
        <v>1</v>
      </c>
      <c r="N43" s="65">
        <f t="shared" si="21"/>
        <v>1</v>
      </c>
      <c r="O43" s="82"/>
    </row>
    <row r="44">
      <c r="A44" s="66">
        <v>21.0</v>
      </c>
      <c r="B44" s="59" t="s">
        <v>68</v>
      </c>
      <c r="C44" s="67"/>
      <c r="D44" s="61">
        <v>40.0</v>
      </c>
      <c r="E44" s="62">
        <v>53.0</v>
      </c>
      <c r="F44" s="62">
        <v>49.0</v>
      </c>
      <c r="G44" s="62">
        <v>52.0</v>
      </c>
      <c r="H44" s="62">
        <v>57.0</v>
      </c>
      <c r="I44" s="62">
        <v>55.0</v>
      </c>
      <c r="J44" s="62">
        <v>51.0</v>
      </c>
      <c r="K44" s="62">
        <v>58.0</v>
      </c>
      <c r="L44" s="62">
        <v>65.0</v>
      </c>
      <c r="M44" s="62">
        <v>62.0</v>
      </c>
      <c r="N44" s="62">
        <v>72.0</v>
      </c>
      <c r="O44" s="80"/>
    </row>
    <row r="45">
      <c r="A45" s="66"/>
      <c r="B45" s="59"/>
      <c r="C45" s="67"/>
      <c r="D45" s="62"/>
      <c r="E45" s="62"/>
      <c r="F45" s="62"/>
      <c r="G45" s="62"/>
      <c r="H45" s="62"/>
      <c r="I45" s="62"/>
      <c r="J45" s="62"/>
      <c r="K45" s="62"/>
      <c r="L45" s="62"/>
      <c r="M45" s="62"/>
      <c r="N45" s="62"/>
      <c r="O45" s="80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</row>
  </sheetData>
  <mergeCells count="2">
    <mergeCell ref="B1:C1"/>
    <mergeCell ref="A2:D2"/>
  </mergeCells>
  <conditionalFormatting sqref="B1">
    <cfRule type="expression" dxfId="0" priority="1">
      <formula>RegExMatch(($C1),"Done")</formula>
    </cfRule>
  </conditionalFormatting>
  <conditionalFormatting sqref="B3">
    <cfRule type="expression" dxfId="0" priority="2">
      <formula>RegExMatch((#REF!),"Done")</formula>
    </cfRule>
  </conditionalFormatting>
  <conditionalFormatting sqref="A3:A47">
    <cfRule type="expression" dxfId="0" priority="3">
      <formula>RegExMatch(($D3),"Done")</formula>
    </cfRule>
  </conditionalFormatting>
  <conditionalFormatting sqref="C4">
    <cfRule type="notContainsBlanks" dxfId="1" priority="4">
      <formula>LEN(TRIM(C4))&gt;0</formula>
    </cfRule>
  </conditionalFormatting>
  <conditionalFormatting sqref="E4">
    <cfRule type="cellIs" dxfId="2" priority="5" operator="equal">
      <formula>D4</formula>
    </cfRule>
  </conditionalFormatting>
  <conditionalFormatting sqref="F4">
    <cfRule type="cellIs" dxfId="2" priority="6" operator="equal">
      <formula>D4</formula>
    </cfRule>
  </conditionalFormatting>
  <conditionalFormatting sqref="G4">
    <cfRule type="cellIs" dxfId="2" priority="7" operator="equal">
      <formula>D4</formula>
    </cfRule>
  </conditionalFormatting>
  <conditionalFormatting sqref="H4:N4">
    <cfRule type="cellIs" dxfId="2" priority="8" operator="equal">
      <formula>$D$4</formula>
    </cfRule>
  </conditionalFormatting>
  <conditionalFormatting sqref="E6:N6">
    <cfRule type="cellIs" dxfId="2" priority="9" operator="equal">
      <formula>$D$6</formula>
    </cfRule>
  </conditionalFormatting>
  <conditionalFormatting sqref="E8:N8">
    <cfRule type="cellIs" dxfId="2" priority="10" operator="equal">
      <formula>$D$8</formula>
    </cfRule>
  </conditionalFormatting>
  <conditionalFormatting sqref="E10:N10">
    <cfRule type="cellIs" dxfId="2" priority="11" operator="equal">
      <formula>$D$10</formula>
    </cfRule>
  </conditionalFormatting>
  <conditionalFormatting sqref="E12:N12">
    <cfRule type="cellIs" dxfId="2" priority="12" operator="equal">
      <formula>$D$12</formula>
    </cfRule>
  </conditionalFormatting>
  <conditionalFormatting sqref="E14:N14">
    <cfRule type="cellIs" dxfId="2" priority="13" operator="equal">
      <formula>$D$14</formula>
    </cfRule>
  </conditionalFormatting>
  <conditionalFormatting sqref="E16:N16">
    <cfRule type="cellIs" dxfId="2" priority="14" operator="equal">
      <formula>$D$16</formula>
    </cfRule>
  </conditionalFormatting>
  <conditionalFormatting sqref="E18:N18">
    <cfRule type="cellIs" dxfId="2" priority="15" operator="equal">
      <formula>$D$18</formula>
    </cfRule>
  </conditionalFormatting>
  <conditionalFormatting sqref="E20:N20">
    <cfRule type="cellIs" dxfId="2" priority="16" operator="equal">
      <formula>$D$20</formula>
    </cfRule>
  </conditionalFormatting>
  <conditionalFormatting sqref="E22:N22">
    <cfRule type="cellIs" dxfId="2" priority="17" operator="equal">
      <formula>$D$22</formula>
    </cfRule>
  </conditionalFormatting>
  <conditionalFormatting sqref="E24:N24">
    <cfRule type="cellIs" dxfId="2" priority="18" operator="equal">
      <formula>$D$24</formula>
    </cfRule>
  </conditionalFormatting>
  <conditionalFormatting sqref="E26:N26">
    <cfRule type="cellIs" dxfId="2" priority="19" operator="equal">
      <formula>$D$26</formula>
    </cfRule>
  </conditionalFormatting>
  <conditionalFormatting sqref="E28:N28">
    <cfRule type="cellIs" dxfId="2" priority="20" operator="equal">
      <formula>$D$28</formula>
    </cfRule>
  </conditionalFormatting>
  <conditionalFormatting sqref="E30:N30">
    <cfRule type="cellIs" dxfId="2" priority="21" operator="equal">
      <formula>$D$30</formula>
    </cfRule>
  </conditionalFormatting>
  <conditionalFormatting sqref="E32:N32">
    <cfRule type="cellIs" dxfId="2" priority="22" operator="equal">
      <formula>$D$32</formula>
    </cfRule>
  </conditionalFormatting>
  <conditionalFormatting sqref="E34:N34">
    <cfRule type="cellIs" dxfId="2" priority="23" operator="equal">
      <formula>$D$34</formula>
    </cfRule>
  </conditionalFormatting>
  <conditionalFormatting sqref="E36:N36">
    <cfRule type="cellIs" dxfId="2" priority="24" operator="equal">
      <formula>$D$36</formula>
    </cfRule>
  </conditionalFormatting>
  <conditionalFormatting sqref="E38:N38">
    <cfRule type="cellIs" dxfId="2" priority="25" operator="equal">
      <formula>$D$38</formula>
    </cfRule>
  </conditionalFormatting>
  <conditionalFormatting sqref="E40:N40">
    <cfRule type="cellIs" dxfId="2" priority="26" operator="equal">
      <formula>$D$40</formula>
    </cfRule>
  </conditionalFormatting>
  <conditionalFormatting sqref="E42:N42">
    <cfRule type="cellIs" dxfId="2" priority="27" operator="equal">
      <formula>$D$42</formula>
    </cfRule>
  </conditionalFormatting>
  <drawing r:id="rId1"/>
</worksheet>
</file>